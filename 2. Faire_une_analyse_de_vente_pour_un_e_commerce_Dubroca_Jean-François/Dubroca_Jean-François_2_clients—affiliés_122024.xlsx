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hidePivotFieldList="1"/>
  <mc:AlternateContent xmlns:mc="http://schemas.openxmlformats.org/markup-compatibility/2006">
    <mc:Choice Requires="x15">
      <x15ac:absPath xmlns:x15ac="http://schemas.microsoft.com/office/spreadsheetml/2010/11/ac" url="/Users/jean-francoisdubroca/Documents/Formation DA/Projet 2 - Analyse des ventes /Projet/Livrables/"/>
    </mc:Choice>
  </mc:AlternateContent>
  <xr:revisionPtr revIDLastSave="0" documentId="13_ncr:1_{771995E0-189B-9043-ADE0-6F26A7596908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  <sheet name="TCD" sheetId="6" r:id="rId4"/>
    <sheet name="Infographie" sheetId="7" r:id="rId5"/>
  </sheets>
  <definedNames>
    <definedName name="_xlnm.Print_Titles" localSheetId="2">'DATA Février (clients affiliés)'!$1:$1</definedName>
  </definedNames>
  <calcPr calcId="191029"/>
  <pivotCaches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15" i="1"/>
  <c r="C16" i="1"/>
  <c r="H9" i="1"/>
  <c r="J9" i="1" s="1"/>
  <c r="H10" i="1"/>
  <c r="J10" i="1" s="1"/>
  <c r="H8" i="1"/>
  <c r="J8" i="1" s="1"/>
  <c r="C15" i="1"/>
  <c r="H3" i="6"/>
  <c r="H4" i="6"/>
  <c r="J11" i="1" l="1"/>
  <c r="H11" i="1"/>
</calcChain>
</file>

<file path=xl/sharedStrings.xml><?xml version="1.0" encoding="utf-8"?>
<sst xmlns="http://schemas.openxmlformats.org/spreadsheetml/2006/main" count="714" uniqueCount="38">
  <si>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</si>
  <si>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</si>
  <si>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</si>
  <si>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</si>
  <si>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</si>
  <si>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</si>
  <si>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</si>
  <si>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</si>
  <si>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</si>
  <si>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</si>
  <si>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</si>
  <si>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</si>
  <si>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</si>
  <si>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</si>
  <si>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</si>
  <si>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</si>
  <si>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</si>
  <si>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</si>
  <si>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</si>
  <si>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</si>
  <si>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</si>
  <si>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</si>
  <si>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</si>
  <si>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</si>
  <si>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</si>
  <si>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</si>
  <si>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</si>
  <si>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Total général</t>
  </si>
  <si>
    <t>Somme de Montant</t>
  </si>
  <si>
    <t>Total Nombre d'achats</t>
  </si>
  <si>
    <t>Nombre d'achats</t>
  </si>
  <si>
    <t>Total Total</t>
  </si>
  <si>
    <t>Total</t>
  </si>
  <si>
    <t>TCD Top 10 Clients</t>
  </si>
  <si>
    <t>Étiquettes de lignes</t>
  </si>
  <si>
    <t>TCD CA par catégories</t>
  </si>
  <si>
    <t xml:space="preserve"> </t>
  </si>
  <si>
    <t>Catégories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</si>
</sst>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&quot;€&quot;"/>
    <numFmt numFmtId="165" formatCode="_-* #,##0.00\ &quot;€&quot;_-;\-* #,##0.00\ &quot;€&quot;_-;_-* &quot;-&quot;??\ &quot;€&quot;_-;_-@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i/>
      <sz val="26"/>
      <color theme="0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b/>
      <sz val="11"/>
      <color theme="0"/>
      <name val="Calibri"/>
      <family val="2"/>
    </font>
    <font>
      <b/>
      <i/>
      <sz val="20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 tint="4.9989318521683403E-2"/>
      <name val="Calibri"/>
      <family val="2"/>
    </font>
    <font>
      <b/>
      <sz val="11"/>
      <color theme="1" tint="4.9989318521683403E-2"/>
      <name val="Calibri"/>
      <family val="2"/>
    </font>
    <font>
      <b/>
      <sz val="12"/>
      <color rgb="FF000000"/>
      <name val="Calibri"/>
      <family val="2"/>
    </font>
    <font>
      <b/>
      <sz val="14"/>
      <color theme="3"/>
      <name val="Calibri"/>
      <family val="2"/>
    </font>
    <font>
      <sz val="11"/>
      <color theme="3"/>
      <name val="Calibri"/>
      <family val="2"/>
    </font>
    <font>
      <sz val="11"/>
      <color theme="1" tint="0.249977111117893"/>
      <name val="Calibri"/>
      <family val="2"/>
    </font>
    <font>
      <sz val="11"/>
      <color theme="1" tint="4.9989318521683403E-2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theme="5"/>
        <bgColor theme="5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theme="1"/>
      </left>
      <right style="thin">
        <color rgb="FF000000"/>
      </right>
      <top style="thin">
        <color theme="1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theme="1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93">
    <xf numFmtId="0" fontId="0" fillId="0" borderId="0" xfId="0"/>
    <xf numFmtId="0" fontId="1" fillId="2" borderId="1" xfId="0" applyFont="1" applyFill="1" applyBorder="1"/>
    <xf numFmtId="0" fontId="4" fillId="2" borderId="9" xfId="0" applyFont="1" applyFill="1" applyBorder="1" applyAlignment="1">
      <alignment horizontal="center" vertical="center"/>
    </xf>
    <xf numFmtId="164" fontId="4" fillId="2" borderId="10" xfId="0" applyNumberFormat="1" applyFont="1" applyFill="1" applyBorder="1" applyAlignment="1">
      <alignment horizontal="center" vertical="center"/>
    </xf>
    <xf numFmtId="164" fontId="4" fillId="2" borderId="1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0" fontId="4" fillId="5" borderId="12" xfId="0" applyFont="1" applyFill="1" applyBorder="1" applyAlignment="1">
      <alignment horizontal="center" vertical="center"/>
    </xf>
    <xf numFmtId="164" fontId="4" fillId="5" borderId="13" xfId="0" applyNumberFormat="1" applyFont="1" applyFill="1" applyBorder="1" applyAlignment="1">
      <alignment horizontal="center" vertical="center"/>
    </xf>
    <xf numFmtId="164" fontId="4" fillId="5" borderId="14" xfId="0" applyNumberFormat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4" fontId="4" fillId="2" borderId="16" xfId="0" applyNumberFormat="1" applyFont="1" applyFill="1" applyBorder="1" applyAlignment="1">
      <alignment horizontal="center" vertical="center"/>
    </xf>
    <xf numFmtId="164" fontId="4" fillId="2" borderId="17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1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2" borderId="22" xfId="0" applyFont="1" applyFill="1" applyBorder="1"/>
    <xf numFmtId="0" fontId="1" fillId="2" borderId="23" xfId="0" applyFont="1" applyFill="1" applyBorder="1"/>
    <xf numFmtId="0" fontId="1" fillId="2" borderId="24" xfId="0" applyFont="1" applyFill="1" applyBorder="1"/>
    <xf numFmtId="0" fontId="1" fillId="2" borderId="25" xfId="0" applyFont="1" applyFill="1" applyBorder="1"/>
    <xf numFmtId="0" fontId="1" fillId="2" borderId="26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4" fontId="1" fillId="7" borderId="0" xfId="0" applyNumberFormat="1" applyFont="1" applyFill="1" applyAlignment="1">
      <alignment horizontal="center" vertical="center"/>
    </xf>
    <xf numFmtId="165" fontId="1" fillId="7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4" fontId="1" fillId="8" borderId="0" xfId="0" applyNumberFormat="1" applyFont="1" applyFill="1" applyAlignment="1">
      <alignment horizontal="center" vertical="center"/>
    </xf>
    <xf numFmtId="165" fontId="1" fillId="8" borderId="0" xfId="0" applyNumberFormat="1" applyFont="1" applyFill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0" xfId="0" pivotButton="1" applyBorder="1"/>
    <xf numFmtId="0" fontId="0" fillId="0" borderId="33" xfId="0" applyBorder="1"/>
    <xf numFmtId="165" fontId="0" fillId="0" borderId="33" xfId="0" applyNumberFormat="1" applyBorder="1"/>
    <xf numFmtId="165" fontId="0" fillId="0" borderId="34" xfId="0" applyNumberFormat="1" applyBorder="1"/>
    <xf numFmtId="0" fontId="0" fillId="0" borderId="36" xfId="0" applyBorder="1"/>
    <xf numFmtId="165" fontId="0" fillId="0" borderId="30" xfId="0" applyNumberFormat="1" applyBorder="1"/>
    <xf numFmtId="165" fontId="0" fillId="0" borderId="36" xfId="0" applyNumberFormat="1" applyBorder="1"/>
    <xf numFmtId="165" fontId="0" fillId="0" borderId="35" xfId="0" applyNumberFormat="1" applyBorder="1"/>
    <xf numFmtId="165" fontId="0" fillId="0" borderId="37" xfId="0" applyNumberFormat="1" applyBorder="1"/>
    <xf numFmtId="0" fontId="0" fillId="0" borderId="38" xfId="0" applyBorder="1"/>
    <xf numFmtId="165" fontId="0" fillId="0" borderId="38" xfId="0" applyNumberFormat="1" applyBorder="1"/>
    <xf numFmtId="165" fontId="0" fillId="0" borderId="1" xfId="0" applyNumberFormat="1" applyBorder="1"/>
    <xf numFmtId="165" fontId="0" fillId="0" borderId="39" xfId="0" applyNumberFormat="1" applyBorder="1"/>
    <xf numFmtId="0" fontId="0" fillId="0" borderId="35" xfId="0" applyBorder="1"/>
    <xf numFmtId="0" fontId="0" fillId="0" borderId="0" xfId="0" pivotButton="1"/>
    <xf numFmtId="165" fontId="0" fillId="0" borderId="0" xfId="0" applyNumberFormat="1"/>
    <xf numFmtId="1" fontId="0" fillId="0" borderId="0" xfId="0" applyNumberFormat="1"/>
    <xf numFmtId="0" fontId="7" fillId="0" borderId="0" xfId="0" applyFont="1"/>
    <xf numFmtId="0" fontId="0" fillId="0" borderId="0" xfId="0" applyAlignment="1">
      <alignment horizontal="left"/>
    </xf>
    <xf numFmtId="10" fontId="0" fillId="0" borderId="0" xfId="0" applyNumberFormat="1"/>
    <xf numFmtId="164" fontId="4" fillId="2" borderId="41" xfId="0" applyNumberFormat="1" applyFont="1" applyFill="1" applyBorder="1" applyAlignment="1">
      <alignment horizontal="center" vertical="center"/>
    </xf>
    <xf numFmtId="164" fontId="4" fillId="2" borderId="40" xfId="0" applyNumberFormat="1" applyFont="1" applyFill="1" applyBorder="1" applyAlignment="1">
      <alignment horizontal="center" vertical="center"/>
    </xf>
    <xf numFmtId="9" fontId="0" fillId="0" borderId="0" xfId="1" applyFont="1"/>
    <xf numFmtId="1" fontId="4" fillId="2" borderId="40" xfId="0" applyNumberFormat="1" applyFont="1" applyFill="1" applyBorder="1" applyAlignment="1">
      <alignment horizontal="center" vertical="center"/>
    </xf>
    <xf numFmtId="0" fontId="6" fillId="3" borderId="2" xfId="0" applyFont="1" applyFill="1" applyBorder="1"/>
    <xf numFmtId="0" fontId="6" fillId="3" borderId="3" xfId="0" applyFont="1" applyFill="1" applyBorder="1"/>
    <xf numFmtId="0" fontId="6" fillId="3" borderId="4" xfId="0" applyFont="1" applyFill="1" applyBorder="1"/>
    <xf numFmtId="0" fontId="9" fillId="0" borderId="0" xfId="0" applyFont="1"/>
    <xf numFmtId="0" fontId="9" fillId="9" borderId="0" xfId="0" applyFont="1" applyFill="1"/>
    <xf numFmtId="0" fontId="0" fillId="10" borderId="0" xfId="0" applyFill="1"/>
    <xf numFmtId="1" fontId="0" fillId="10" borderId="0" xfId="0" applyNumberFormat="1" applyFill="1"/>
    <xf numFmtId="0" fontId="9" fillId="10" borderId="0" xfId="0" applyFont="1" applyFill="1" applyAlignment="1">
      <alignment horizontal="center"/>
    </xf>
    <xf numFmtId="0" fontId="9" fillId="10" borderId="0" xfId="0" applyFont="1" applyFill="1"/>
    <xf numFmtId="1" fontId="9" fillId="10" borderId="0" xfId="0" applyNumberFormat="1" applyFont="1" applyFill="1"/>
    <xf numFmtId="165" fontId="9" fillId="10" borderId="0" xfId="0" applyNumberFormat="1" applyFont="1" applyFill="1"/>
    <xf numFmtId="0" fontId="0" fillId="11" borderId="0" xfId="0" applyFill="1"/>
    <xf numFmtId="1" fontId="0" fillId="11" borderId="0" xfId="0" applyNumberFormat="1" applyFill="1"/>
    <xf numFmtId="0" fontId="9" fillId="11" borderId="0" xfId="0" applyFont="1" applyFill="1"/>
    <xf numFmtId="1" fontId="9" fillId="11" borderId="0" xfId="0" applyNumberFormat="1" applyFont="1" applyFill="1"/>
    <xf numFmtId="165" fontId="9" fillId="11" borderId="0" xfId="0" applyNumberFormat="1" applyFont="1" applyFill="1"/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164" fontId="10" fillId="4" borderId="42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4" fillId="0" borderId="8" xfId="0" applyFont="1" applyBorder="1"/>
    <xf numFmtId="0" fontId="10" fillId="4" borderId="6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164" fontId="10" fillId="4" borderId="28" xfId="0" applyNumberFormat="1" applyFont="1" applyFill="1" applyBorder="1" applyAlignment="1">
      <alignment horizontal="center" vertical="center"/>
    </xf>
    <xf numFmtId="164" fontId="10" fillId="4" borderId="29" xfId="0" applyNumberFormat="1" applyFont="1" applyFill="1" applyBorder="1" applyAlignment="1">
      <alignment horizontal="center" vertical="center"/>
    </xf>
    <xf numFmtId="0" fontId="15" fillId="2" borderId="1" xfId="0" applyFont="1" applyFill="1" applyBorder="1"/>
    <xf numFmtId="0" fontId="16" fillId="6" borderId="0" xfId="0" applyFont="1" applyFill="1" applyAlignment="1">
      <alignment horizontal="center" vertical="center"/>
    </xf>
    <xf numFmtId="4" fontId="16" fillId="6" borderId="0" xfId="0" applyNumberFormat="1" applyFont="1" applyFill="1" applyAlignment="1">
      <alignment horizontal="center" vertical="center"/>
    </xf>
    <xf numFmtId="2" fontId="16" fillId="6" borderId="0" xfId="0" applyNumberFormat="1" applyFont="1" applyFill="1" applyAlignment="1">
      <alignment horizontal="center" vertical="center"/>
    </xf>
  </cellXfs>
  <cellStyles count="2">
    <cellStyle name="Normal" xfId="0" builtinId="0"/>
    <cellStyle name="Pourcentage" xfId="1" builtinId="5"/>
  </cellStyles>
  <dxfs count="23"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_-* #,##0.00\ &quot;€&quot;_-;\-* #,##0.00\ &quot;€&quot;_-;_-* &quot;-&quot;??\ &quot;€&quot;_-;_-@"/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bgColor theme="5"/>
        </patternFill>
      </fill>
    </dxf>
    <dxf>
      <font>
        <color theme="0"/>
      </font>
    </dxf>
    <dxf>
      <fill>
        <patternFill patternType="solid">
          <bgColor theme="5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ill>
        <patternFill patternType="solid">
          <bgColor theme="4"/>
        </patternFill>
      </fill>
    </dxf>
    <dxf>
      <font>
        <color theme="0"/>
      </font>
    </dxf>
    <dxf>
      <fill>
        <patternFill patternType="solid">
          <bgColor theme="6"/>
        </patternFill>
      </fill>
    </dxf>
    <dxf>
      <alignment horizontal="center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#,##0\ &quot;€&quot;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theme="8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 defaultTableStyle="TableStyleMedium2" defaultPivotStyle="PivotStyleLight16">
    <tableStyle name="DATA Février (clients affiliés)-style" pivot="0" count="4" xr9:uid="{00000000-0011-0000-FFFF-FFFF00000000}">
      <tableStyleElement type="headerRow" dxfId="22"/>
      <tableStyleElement type="totalRow" dxfId="21"/>
      <tableStyleElement type="firstRowStripe" dxfId="20"/>
      <tableStyleElement type="secondRow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'Tableau de bord'!$C$7:$H$7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5-104D-808D-17BB0AD7C195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marker>
            <c:symbol val="none"/>
          </c:marker>
          <c:cat>
            <c:strRef>
              <c:f>'Tableau de bord'!$C$7:$H$7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4D-0B46-B695-CB6B18BADB89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marker>
            <c:symbol val="none"/>
          </c:marker>
          <c:cat>
            <c:strRef>
              <c:f>'Tableau de bord'!$C$7:$H$7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4D-0B46-B695-CB6B18BAD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767072"/>
        <c:axId val="11113100"/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1" i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overlay val="0"/>
        </c:title>
        <c:numFmt formatCode="#\ ##0\ &quot;€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35767072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011-0F41-BEC1-D283740168A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011-0F41-BEC1-D283740168A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011-0F41-BEC1-D283740168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bord'!$J$8:$J$10</c:f>
              <c:numCache>
                <c:formatCode>#\ ##0\ "€"</c:formatCode>
                <c:ptCount val="3"/>
                <c:pt idx="0">
                  <c:v>79290.899999999994</c:v>
                </c:pt>
                <c:pt idx="1">
                  <c:v>107400.81999999999</c:v>
                </c:pt>
                <c:pt idx="2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11-0F41-BEC1-D283740168A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8821487"/>
        <c:axId val="1668543871"/>
      </c:barChart>
      <c:catAx>
        <c:axId val="50882148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68543871"/>
        <c:crosses val="autoZero"/>
        <c:auto val="1"/>
        <c:lblAlgn val="ctr"/>
        <c:lblOffset val="100"/>
        <c:noMultiLvlLbl val="0"/>
      </c:catAx>
      <c:valAx>
        <c:axId val="1668543871"/>
        <c:scaling>
          <c:orientation val="minMax"/>
        </c:scaling>
        <c:delete val="0"/>
        <c:axPos val="l"/>
        <c:numFmt formatCode="#\ ##0\ &quot;€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882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[TdB analyse e commerce V2.xlsx]TCD!TCD_Top_10_Clients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3.1452211887495189E-2"/>
          <c:w val="1"/>
          <c:h val="0.9022171670540218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TCD!$C$7:$C$8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TCD!$B$9:$B$19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TCD!$C$9:$C$19</c:f>
              <c:numCache>
                <c:formatCode>_-* #\ ##0.00\ "€"_-;\-* #\ ##0.00\ "€"_-;_-* "-"??\ "€"_-;_-@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6-BB4B-A0CA-26B71E5A1D4E}"/>
            </c:ext>
          </c:extLst>
        </c:ser>
        <c:ser>
          <c:idx val="1"/>
          <c:order val="1"/>
          <c:tx>
            <c:strRef>
              <c:f>TCD!$D$7:$D$8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TCD!$B$9:$B$19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TCD!$D$9:$D$19</c:f>
              <c:numCache>
                <c:formatCode>_-* #\ ##0.00\ "€"_-;\-* #\ ##0.00\ "€"_-;_-* "-"??\ "€"_-;_-@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719.24000000000012</c:v>
                </c:pt>
                <c:pt idx="3">
                  <c:v>729.20999999999992</c:v>
                </c:pt>
                <c:pt idx="4">
                  <c:v>779.14999999999986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872.33999999999992</c:v>
                </c:pt>
                <c:pt idx="9">
                  <c:v>743.33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C6-BB4B-A0CA-26B71E5A1D4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100"/>
        <c:axId val="851733360"/>
        <c:axId val="851735072"/>
      </c:barChart>
      <c:catAx>
        <c:axId val="85173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1735072"/>
        <c:crosses val="autoZero"/>
        <c:auto val="1"/>
        <c:lblAlgn val="ctr"/>
        <c:lblOffset val="100"/>
        <c:noMultiLvlLbl val="0"/>
      </c:catAx>
      <c:valAx>
        <c:axId val="85173507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\ ##0.00\ &quot;€&quot;_-;\-* #\ ##0.00\ &quot;€&quot;_-;_-* &quot;-&quot;??\ &quot;€&quot;_-;_-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1733360"/>
        <c:crosses val="autoZero"/>
        <c:crossBetween val="between"/>
      </c:valAx>
      <c:spPr>
        <a:noFill/>
        <a:ln cap="sq">
          <a:solidFill>
            <a:schemeClr val="accent1">
              <a:shade val="15000"/>
            </a:schemeClr>
          </a:solidFill>
        </a:ln>
        <a:effectLst/>
      </c:spPr>
    </c:plotArea>
    <c:legend>
      <c:legendPos val="t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41275">
                <a:solidFill>
                  <a:srgbClr val="FF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#\ ##0.00\ "€"_-;\-* #\ ##0.00\ "€"_-;_-* "-"??\ "€"_-;_-@</c:formatCode>
                <c:ptCount val="660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91-2D48-9746-BDD156F39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096768"/>
        <c:axId val="1105197680"/>
      </c:scatterChart>
      <c:valAx>
        <c:axId val="1105096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5197680"/>
        <c:crosses val="autoZero"/>
        <c:crossBetween val="midCat"/>
      </c:valAx>
      <c:valAx>
        <c:axId val="110519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509676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[TdB analyse e commerce V2.xlsx]TCD!TCD_CA_Catégories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baseline="0">
                  <a:ln w="0">
                    <a:solidFill>
                      <a:schemeClr val="bg1"/>
                    </a:solidFill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4.6944511803081512E-2"/>
          <c:y val="8.9271359938240841E-2"/>
          <c:w val="0.3147433573881413"/>
          <c:h val="0.81198221332061249"/>
        </c:manualLayout>
      </c:layout>
      <c:doughnutChart>
        <c:varyColors val="1"/>
        <c:ser>
          <c:idx val="0"/>
          <c:order val="0"/>
          <c:tx>
            <c:strRef>
              <c:f>TCD!$H$7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984-D94E-B0F4-9A6D76EC48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984-D94E-B0F4-9A6D76EC48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ln w="0">
                      <a:solidFill>
                        <a:schemeClr val="bg1"/>
                      </a:solidFill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TCD!$G$8:$G$10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f>TCD!$H$8:$H$10</c:f>
              <c:numCache>
                <c:formatCode>0.00%</c:formatCode>
                <c:ptCount val="2"/>
                <c:pt idx="0">
                  <c:v>0.37223619560131022</c:v>
                </c:pt>
                <c:pt idx="1">
                  <c:v>0.62776380439868973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84-D94E-B0F4-9A6D76EC4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8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9D65893B-BD88-EF47-AC56-B5C42FDA4714}" type="doc">
      <dgm:prSet loTypeId="urn:microsoft.com/office/officeart/2005/8/layout/balance1" loCatId="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fr-FR"/>
        </a:p>
      </dgm:t>
    </dgm:pt>
    <dgm:pt modelId="{17449D6A-1E5D-864B-85D9-6C1FA6EBB77F}">
      <dgm:prSet phldrT="[Texte]"/>
      <dgm:spPr/>
      <dgm:t>
        <a:bodyPr/>
        <a:lstStyle/>
        <a:p>
          <a:r>
            <a:rPr lang="fr-FR"/>
            <a:t>37%</a:t>
          </a:r>
        </a:p>
      </dgm:t>
    </dgm:pt>
    <dgm:pt modelId="{023F2A11-308F-1844-B013-8368C0B2BA6D}" type="parTrans" cxnId="{36B9A97E-E1C4-5841-9AA9-E19F8702870D}">
      <dgm:prSet/>
      <dgm:spPr/>
      <dgm:t>
        <a:bodyPr/>
        <a:lstStyle/>
        <a:p>
          <a:endParaRPr lang="fr-FR"/>
        </a:p>
      </dgm:t>
    </dgm:pt>
    <dgm:pt modelId="{918A4243-9F1C-CD4B-A16F-CCE8B1469F10}" type="sibTrans" cxnId="{36B9A97E-E1C4-5841-9AA9-E19F8702870D}">
      <dgm:prSet/>
      <dgm:spPr/>
      <dgm:t>
        <a:bodyPr/>
        <a:lstStyle/>
        <a:p>
          <a:endParaRPr lang="fr-FR"/>
        </a:p>
      </dgm:t>
    </dgm:pt>
    <dgm:pt modelId="{5FA469AF-0D1E-3847-BA72-5D2373E2580B}">
      <dgm:prSet phldrT="[Texte]"/>
      <dgm:spPr/>
    </dgm:pt>
    <dgm:pt modelId="{7BB0BB77-B660-3049-99B5-FBD396F3E628}" type="parTrans" cxnId="{A547C6AD-6D7F-5949-8A66-CF753DC74D48}">
      <dgm:prSet/>
      <dgm:spPr/>
      <dgm:t>
        <a:bodyPr/>
        <a:lstStyle/>
        <a:p>
          <a:endParaRPr lang="fr-FR"/>
        </a:p>
      </dgm:t>
    </dgm:pt>
    <dgm:pt modelId="{D84EF2A6-7C5E-E846-9A34-900F00375EF6}" type="sibTrans" cxnId="{A547C6AD-6D7F-5949-8A66-CF753DC74D48}">
      <dgm:prSet/>
      <dgm:spPr/>
      <dgm:t>
        <a:bodyPr/>
        <a:lstStyle/>
        <a:p>
          <a:endParaRPr lang="fr-FR"/>
        </a:p>
      </dgm:t>
    </dgm:pt>
    <dgm:pt modelId="{23713827-E00A-434E-9B65-ED5DC08FA83A}">
      <dgm:prSet phldrT="[Texte]"/>
      <dgm:spPr/>
    </dgm:pt>
    <dgm:pt modelId="{1F88F57C-BF4C-904A-B09D-7A66B0F16129}" type="parTrans" cxnId="{6C354301-AAD0-614B-A463-35FC0BB5B6CB}">
      <dgm:prSet/>
      <dgm:spPr/>
      <dgm:t>
        <a:bodyPr/>
        <a:lstStyle/>
        <a:p>
          <a:endParaRPr lang="fr-FR"/>
        </a:p>
      </dgm:t>
    </dgm:pt>
    <dgm:pt modelId="{D4A98F15-E5BF-8741-A0E7-D75A102CD44F}" type="sibTrans" cxnId="{6C354301-AAD0-614B-A463-35FC0BB5B6CB}">
      <dgm:prSet/>
      <dgm:spPr/>
      <dgm:t>
        <a:bodyPr/>
        <a:lstStyle/>
        <a:p>
          <a:endParaRPr lang="fr-FR"/>
        </a:p>
      </dgm:t>
    </dgm:pt>
    <dgm:pt modelId="{F2B11A99-7093-F748-BDAC-05664319EB53}">
      <dgm:prSet phldrT="[Texte]"/>
      <dgm:spPr/>
      <dgm:t>
        <a:bodyPr/>
        <a:lstStyle/>
        <a:p>
          <a:r>
            <a:rPr lang="fr-FR"/>
            <a:t>63%</a:t>
          </a:r>
        </a:p>
      </dgm:t>
    </dgm:pt>
    <dgm:pt modelId="{9D7C1852-906B-C140-BA9F-2759EAAAAC17}" type="parTrans" cxnId="{0B76F72C-B7CE-F942-8D35-ABF557F4C49A}">
      <dgm:prSet/>
      <dgm:spPr/>
      <dgm:t>
        <a:bodyPr/>
        <a:lstStyle/>
        <a:p>
          <a:endParaRPr lang="fr-FR"/>
        </a:p>
      </dgm:t>
    </dgm:pt>
    <dgm:pt modelId="{93530DDC-373A-5D4E-BFE4-AE6DD38873A4}" type="sibTrans" cxnId="{0B76F72C-B7CE-F942-8D35-ABF557F4C49A}">
      <dgm:prSet/>
      <dgm:spPr/>
      <dgm:t>
        <a:bodyPr/>
        <a:lstStyle/>
        <a:p>
          <a:endParaRPr lang="fr-FR"/>
        </a:p>
      </dgm:t>
    </dgm:pt>
    <dgm:pt modelId="{9F300824-735C-BB47-B08D-63276F261E3A}">
      <dgm:prSet/>
      <dgm:spPr/>
      <dgm:t>
        <a:bodyPr/>
        <a:lstStyle/>
        <a:p>
          <a:r>
            <a:rPr lang="fr-FR"/>
            <a:t>Bien de conso</a:t>
          </a:r>
        </a:p>
      </dgm:t>
    </dgm:pt>
    <dgm:pt modelId="{BEE6F8B2-13A0-E745-B574-C4604FD047FE}" type="parTrans" cxnId="{9D35B5E8-65B3-9C4A-A869-D51CA03B564E}">
      <dgm:prSet/>
      <dgm:spPr/>
      <dgm:t>
        <a:bodyPr/>
        <a:lstStyle/>
        <a:p>
          <a:endParaRPr lang="fr-FR"/>
        </a:p>
      </dgm:t>
    </dgm:pt>
    <dgm:pt modelId="{E0193898-D6E0-CB41-9CF9-9134FE0720DE}" type="sibTrans" cxnId="{9D35B5E8-65B3-9C4A-A869-D51CA03B564E}">
      <dgm:prSet/>
      <dgm:spPr/>
      <dgm:t>
        <a:bodyPr/>
        <a:lstStyle/>
        <a:p>
          <a:endParaRPr lang="fr-FR"/>
        </a:p>
      </dgm:t>
    </dgm:pt>
    <dgm:pt modelId="{58E2EEE4-447B-2C4B-813B-933A2CCC5175}">
      <dgm:prSet/>
      <dgm:spPr/>
      <dgm:t>
        <a:bodyPr/>
        <a:lstStyle/>
        <a:p>
          <a:r>
            <a:rPr lang="fr-FR"/>
            <a:t>Nourriture</a:t>
          </a:r>
        </a:p>
      </dgm:t>
    </dgm:pt>
    <dgm:pt modelId="{AF54D2CA-89C3-A14A-B5DB-40E78406C2A1}" type="parTrans" cxnId="{D4764276-C155-7B4C-92A3-4AB6A537C44B}">
      <dgm:prSet/>
      <dgm:spPr/>
      <dgm:t>
        <a:bodyPr/>
        <a:lstStyle/>
        <a:p>
          <a:endParaRPr lang="fr-FR"/>
        </a:p>
      </dgm:t>
    </dgm:pt>
    <dgm:pt modelId="{4ECD23EE-5B24-7B4B-B7D8-50A7468DDBA8}" type="sibTrans" cxnId="{D4764276-C155-7B4C-92A3-4AB6A537C44B}">
      <dgm:prSet/>
      <dgm:spPr/>
      <dgm:t>
        <a:bodyPr/>
        <a:lstStyle/>
        <a:p>
          <a:endParaRPr lang="fr-FR"/>
        </a:p>
      </dgm:t>
    </dgm:pt>
    <dgm:pt modelId="{E35EB232-F2A1-3645-B472-682528551024}">
      <dgm:prSet/>
      <dgm:spPr/>
      <dgm:t>
        <a:bodyPr/>
        <a:lstStyle/>
        <a:p>
          <a:r>
            <a:rPr lang="fr-FR"/>
            <a:t>Nourriture</a:t>
          </a:r>
        </a:p>
      </dgm:t>
    </dgm:pt>
    <dgm:pt modelId="{0648C287-2CC4-484C-92A5-0D43497B366C}" type="parTrans" cxnId="{D39300A9-2363-4F46-9524-8C967BBC0D11}">
      <dgm:prSet/>
      <dgm:spPr/>
      <dgm:t>
        <a:bodyPr/>
        <a:lstStyle/>
        <a:p>
          <a:endParaRPr lang="fr-FR"/>
        </a:p>
      </dgm:t>
    </dgm:pt>
    <dgm:pt modelId="{D95F01AC-3D32-C84B-9990-CAC125BAE332}" type="sibTrans" cxnId="{D39300A9-2363-4F46-9524-8C967BBC0D11}">
      <dgm:prSet/>
      <dgm:spPr/>
      <dgm:t>
        <a:bodyPr/>
        <a:lstStyle/>
        <a:p>
          <a:endParaRPr lang="fr-FR"/>
        </a:p>
      </dgm:t>
    </dgm:pt>
    <dgm:pt modelId="{70B6C2AF-3046-8046-BB7A-47D87522CF7C}" type="pres">
      <dgm:prSet presAssocID="{9D65893B-BD88-EF47-AC56-B5C42FDA4714}" presName="outerComposite" presStyleCnt="0">
        <dgm:presLayoutVars>
          <dgm:chMax val="2"/>
          <dgm:animLvl val="lvl"/>
          <dgm:resizeHandles val="exact"/>
        </dgm:presLayoutVars>
      </dgm:prSet>
      <dgm:spPr/>
    </dgm:pt>
    <dgm:pt modelId="{7A40DB24-05C5-A149-935D-5FD32920092B}" type="pres">
      <dgm:prSet presAssocID="{9D65893B-BD88-EF47-AC56-B5C42FDA4714}" presName="dummyMaxCanvas" presStyleCnt="0"/>
      <dgm:spPr/>
    </dgm:pt>
    <dgm:pt modelId="{22B4BD18-475D-3842-A743-32B37A443114}" type="pres">
      <dgm:prSet presAssocID="{9D65893B-BD88-EF47-AC56-B5C42FDA4714}" presName="parentComposite" presStyleCnt="0"/>
      <dgm:spPr/>
    </dgm:pt>
    <dgm:pt modelId="{580B18EB-6E5F-AB46-9128-9FDB81E29CC7}" type="pres">
      <dgm:prSet presAssocID="{9D65893B-BD88-EF47-AC56-B5C42FDA4714}" presName="parent1" presStyleLbl="alignAccFollowNode1" presStyleIdx="0" presStyleCnt="4">
        <dgm:presLayoutVars>
          <dgm:chMax val="4"/>
        </dgm:presLayoutVars>
      </dgm:prSet>
      <dgm:spPr/>
    </dgm:pt>
    <dgm:pt modelId="{67F32874-91DD-6242-91BB-17177072BB79}" type="pres">
      <dgm:prSet presAssocID="{9D65893B-BD88-EF47-AC56-B5C42FDA4714}" presName="parent2" presStyleLbl="alignAccFollowNode1" presStyleIdx="1" presStyleCnt="4">
        <dgm:presLayoutVars>
          <dgm:chMax val="4"/>
        </dgm:presLayoutVars>
      </dgm:prSet>
      <dgm:spPr/>
    </dgm:pt>
    <dgm:pt modelId="{24BDC3BB-DBD6-E245-80F2-8311DD105388}" type="pres">
      <dgm:prSet presAssocID="{9D65893B-BD88-EF47-AC56-B5C42FDA4714}" presName="childrenComposite" presStyleCnt="0"/>
      <dgm:spPr/>
    </dgm:pt>
    <dgm:pt modelId="{F74AD7C0-C8D8-BB44-B985-9970A18B9A99}" type="pres">
      <dgm:prSet presAssocID="{9D65893B-BD88-EF47-AC56-B5C42FDA4714}" presName="dummyMaxCanvas_ChildArea" presStyleCnt="0"/>
      <dgm:spPr/>
    </dgm:pt>
    <dgm:pt modelId="{BDBCDF0E-040D-6B44-8DD2-2F896392DE73}" type="pres">
      <dgm:prSet presAssocID="{9D65893B-BD88-EF47-AC56-B5C42FDA4714}" presName="fulcrum" presStyleLbl="alignAccFollowNode1" presStyleIdx="2" presStyleCnt="4"/>
      <dgm:spPr/>
    </dgm:pt>
    <dgm:pt modelId="{2D237993-BBA7-7946-9FD7-97C63715746D}" type="pres">
      <dgm:prSet presAssocID="{9D65893B-BD88-EF47-AC56-B5C42FDA4714}" presName="balance_12" presStyleLbl="alignAccFollowNode1" presStyleIdx="3" presStyleCnt="4">
        <dgm:presLayoutVars>
          <dgm:bulletEnabled val="1"/>
        </dgm:presLayoutVars>
      </dgm:prSet>
      <dgm:spPr/>
    </dgm:pt>
    <dgm:pt modelId="{A2013414-9A37-0F49-BF7B-122898A7CEB6}" type="pres">
      <dgm:prSet presAssocID="{9D65893B-BD88-EF47-AC56-B5C42FDA4714}" presName="right_12_1" presStyleLbl="node1" presStyleIdx="0" presStyleCnt="3">
        <dgm:presLayoutVars>
          <dgm:bulletEnabled val="1"/>
        </dgm:presLayoutVars>
      </dgm:prSet>
      <dgm:spPr/>
    </dgm:pt>
    <dgm:pt modelId="{89E251FE-C5F7-8642-98DC-FC0C997042FF}" type="pres">
      <dgm:prSet presAssocID="{9D65893B-BD88-EF47-AC56-B5C42FDA4714}" presName="right_12_2" presStyleLbl="node1" presStyleIdx="1" presStyleCnt="3">
        <dgm:presLayoutVars>
          <dgm:bulletEnabled val="1"/>
        </dgm:presLayoutVars>
      </dgm:prSet>
      <dgm:spPr/>
    </dgm:pt>
    <dgm:pt modelId="{D038D80B-333B-3643-B55D-14CF89B9E80E}" type="pres">
      <dgm:prSet presAssocID="{9D65893B-BD88-EF47-AC56-B5C42FDA4714}" presName="left_12_1" presStyleLbl="node1" presStyleIdx="2" presStyleCnt="3">
        <dgm:presLayoutVars>
          <dgm:bulletEnabled val="1"/>
        </dgm:presLayoutVars>
      </dgm:prSet>
      <dgm:spPr/>
    </dgm:pt>
  </dgm:ptLst>
  <dgm:cxnLst>
    <dgm:cxn modelId="{6C354301-AAD0-614B-A463-35FC0BB5B6CB}" srcId="{9D65893B-BD88-EF47-AC56-B5C42FDA4714}" destId="{23713827-E00A-434E-9B65-ED5DC08FA83A}" srcOrd="2" destOrd="0" parTransId="{1F88F57C-BF4C-904A-B09D-7A66B0F16129}" sibTransId="{D4A98F15-E5BF-8741-A0E7-D75A102CD44F}"/>
    <dgm:cxn modelId="{0B76F72C-B7CE-F942-8D35-ABF557F4C49A}" srcId="{9D65893B-BD88-EF47-AC56-B5C42FDA4714}" destId="{F2B11A99-7093-F748-BDAC-05664319EB53}" srcOrd="1" destOrd="0" parTransId="{9D7C1852-906B-C140-BA9F-2759EAAAAC17}" sibTransId="{93530DDC-373A-5D4E-BFE4-AE6DD38873A4}"/>
    <dgm:cxn modelId="{9EA5923F-1741-7344-B827-249515C80013}" type="presOf" srcId="{E35EB232-F2A1-3645-B472-682528551024}" destId="{89E251FE-C5F7-8642-98DC-FC0C997042FF}" srcOrd="0" destOrd="0" presId="urn:microsoft.com/office/officeart/2005/8/layout/balance1"/>
    <dgm:cxn modelId="{BE494856-7B5C-F247-BC3C-BB7EFEDDAE0C}" type="presOf" srcId="{9D65893B-BD88-EF47-AC56-B5C42FDA4714}" destId="{70B6C2AF-3046-8046-BB7A-47D87522CF7C}" srcOrd="0" destOrd="0" presId="urn:microsoft.com/office/officeart/2005/8/layout/balance1"/>
    <dgm:cxn modelId="{781F6767-D9CB-CA42-8C04-0E152760FE3C}" type="presOf" srcId="{58E2EEE4-447B-2C4B-813B-933A2CCC5175}" destId="{A2013414-9A37-0F49-BF7B-122898A7CEB6}" srcOrd="0" destOrd="0" presId="urn:microsoft.com/office/officeart/2005/8/layout/balance1"/>
    <dgm:cxn modelId="{D4764276-C155-7B4C-92A3-4AB6A537C44B}" srcId="{F2B11A99-7093-F748-BDAC-05664319EB53}" destId="{58E2EEE4-447B-2C4B-813B-933A2CCC5175}" srcOrd="0" destOrd="0" parTransId="{AF54D2CA-89C3-A14A-B5DB-40E78406C2A1}" sibTransId="{4ECD23EE-5B24-7B4B-B7D8-50A7468DDBA8}"/>
    <dgm:cxn modelId="{5784397B-CB99-AB49-9513-7BC4CA945C33}" type="presOf" srcId="{F2B11A99-7093-F748-BDAC-05664319EB53}" destId="{67F32874-91DD-6242-91BB-17177072BB79}" srcOrd="0" destOrd="0" presId="urn:microsoft.com/office/officeart/2005/8/layout/balance1"/>
    <dgm:cxn modelId="{36B9A97E-E1C4-5841-9AA9-E19F8702870D}" srcId="{9D65893B-BD88-EF47-AC56-B5C42FDA4714}" destId="{17449D6A-1E5D-864B-85D9-6C1FA6EBB77F}" srcOrd="0" destOrd="0" parTransId="{023F2A11-308F-1844-B013-8368C0B2BA6D}" sibTransId="{918A4243-9F1C-CD4B-A16F-CCE8B1469F10}"/>
    <dgm:cxn modelId="{CF6AA39B-D8DB-0B4F-B5D1-F0E1941BF67E}" type="presOf" srcId="{17449D6A-1E5D-864B-85D9-6C1FA6EBB77F}" destId="{580B18EB-6E5F-AB46-9128-9FDB81E29CC7}" srcOrd="0" destOrd="0" presId="urn:microsoft.com/office/officeart/2005/8/layout/balance1"/>
    <dgm:cxn modelId="{D39300A9-2363-4F46-9524-8C967BBC0D11}" srcId="{F2B11A99-7093-F748-BDAC-05664319EB53}" destId="{E35EB232-F2A1-3645-B472-682528551024}" srcOrd="1" destOrd="0" parTransId="{0648C287-2CC4-484C-92A5-0D43497B366C}" sibTransId="{D95F01AC-3D32-C84B-9990-CAC125BAE332}"/>
    <dgm:cxn modelId="{A547C6AD-6D7F-5949-8A66-CF753DC74D48}" srcId="{9D65893B-BD88-EF47-AC56-B5C42FDA4714}" destId="{5FA469AF-0D1E-3847-BA72-5D2373E2580B}" srcOrd="3" destOrd="0" parTransId="{7BB0BB77-B660-3049-99B5-FBD396F3E628}" sibTransId="{D84EF2A6-7C5E-E846-9A34-900F00375EF6}"/>
    <dgm:cxn modelId="{9D35B5E8-65B3-9C4A-A869-D51CA03B564E}" srcId="{17449D6A-1E5D-864B-85D9-6C1FA6EBB77F}" destId="{9F300824-735C-BB47-B08D-63276F261E3A}" srcOrd="0" destOrd="0" parTransId="{BEE6F8B2-13A0-E745-B574-C4604FD047FE}" sibTransId="{E0193898-D6E0-CB41-9CF9-9134FE0720DE}"/>
    <dgm:cxn modelId="{C395EEF7-A529-8F4C-8523-6338956F7B9F}" type="presOf" srcId="{9F300824-735C-BB47-B08D-63276F261E3A}" destId="{D038D80B-333B-3643-B55D-14CF89B9E80E}" srcOrd="0" destOrd="0" presId="urn:microsoft.com/office/officeart/2005/8/layout/balance1"/>
    <dgm:cxn modelId="{9B86BAC0-065D-CC43-9CE4-15EB80A412CD}" type="presParOf" srcId="{70B6C2AF-3046-8046-BB7A-47D87522CF7C}" destId="{7A40DB24-05C5-A149-935D-5FD32920092B}" srcOrd="0" destOrd="0" presId="urn:microsoft.com/office/officeart/2005/8/layout/balance1"/>
    <dgm:cxn modelId="{0DF5736B-4A95-7B4F-BE20-ACAB40D7B5A1}" type="presParOf" srcId="{70B6C2AF-3046-8046-BB7A-47D87522CF7C}" destId="{22B4BD18-475D-3842-A743-32B37A443114}" srcOrd="1" destOrd="0" presId="urn:microsoft.com/office/officeart/2005/8/layout/balance1"/>
    <dgm:cxn modelId="{3DE20D42-6711-C147-B435-6418175E53A1}" type="presParOf" srcId="{22B4BD18-475D-3842-A743-32B37A443114}" destId="{580B18EB-6E5F-AB46-9128-9FDB81E29CC7}" srcOrd="0" destOrd="0" presId="urn:microsoft.com/office/officeart/2005/8/layout/balance1"/>
    <dgm:cxn modelId="{C004B275-7299-D048-9A41-303C2624EA4B}" type="presParOf" srcId="{22B4BD18-475D-3842-A743-32B37A443114}" destId="{67F32874-91DD-6242-91BB-17177072BB79}" srcOrd="1" destOrd="0" presId="urn:microsoft.com/office/officeart/2005/8/layout/balance1"/>
    <dgm:cxn modelId="{E95307EB-0BF5-1048-A727-CEACCDCDE796}" type="presParOf" srcId="{70B6C2AF-3046-8046-BB7A-47D87522CF7C}" destId="{24BDC3BB-DBD6-E245-80F2-8311DD105388}" srcOrd="2" destOrd="0" presId="urn:microsoft.com/office/officeart/2005/8/layout/balance1"/>
    <dgm:cxn modelId="{18028276-CC27-7C4B-BB3F-64D96DED5909}" type="presParOf" srcId="{24BDC3BB-DBD6-E245-80F2-8311DD105388}" destId="{F74AD7C0-C8D8-BB44-B985-9970A18B9A99}" srcOrd="0" destOrd="0" presId="urn:microsoft.com/office/officeart/2005/8/layout/balance1"/>
    <dgm:cxn modelId="{3DA44353-C6D0-B348-A613-AAE05AEE86FD}" type="presParOf" srcId="{24BDC3BB-DBD6-E245-80F2-8311DD105388}" destId="{BDBCDF0E-040D-6B44-8DD2-2F896392DE73}" srcOrd="1" destOrd="0" presId="urn:microsoft.com/office/officeart/2005/8/layout/balance1"/>
    <dgm:cxn modelId="{1AC553AB-D124-FE4E-B6AD-AA75D96BA388}" type="presParOf" srcId="{24BDC3BB-DBD6-E245-80F2-8311DD105388}" destId="{2D237993-BBA7-7946-9FD7-97C63715746D}" srcOrd="2" destOrd="0" presId="urn:microsoft.com/office/officeart/2005/8/layout/balance1"/>
    <dgm:cxn modelId="{0D7D6D46-E2D6-A543-950C-4A14ACBE551E}" type="presParOf" srcId="{24BDC3BB-DBD6-E245-80F2-8311DD105388}" destId="{A2013414-9A37-0F49-BF7B-122898A7CEB6}" srcOrd="3" destOrd="0" presId="urn:microsoft.com/office/officeart/2005/8/layout/balance1"/>
    <dgm:cxn modelId="{9FA9A296-0236-0645-9204-F21592F2EBDE}" type="presParOf" srcId="{24BDC3BB-DBD6-E245-80F2-8311DD105388}" destId="{89E251FE-C5F7-8642-98DC-FC0C997042FF}" srcOrd="4" destOrd="0" presId="urn:microsoft.com/office/officeart/2005/8/layout/balance1"/>
    <dgm:cxn modelId="{F2C9AD93-EC0F-0C4D-B249-BD8A50C1AEBA}" type="presParOf" srcId="{24BDC3BB-DBD6-E245-80F2-8311DD105388}" destId="{D038D80B-333B-3643-B55D-14CF89B9E80E}" srcOrd="5" destOrd="0" presId="urn:microsoft.com/office/officeart/2005/8/layout/balance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7969A143-777D-6B40-87D6-9F25F654CCD3}" type="doc">
      <dgm:prSet loTypeId="urn:microsoft.com/office/officeart/2005/8/layout/pyramid1" loCatId="" qsTypeId="urn:microsoft.com/office/officeart/2005/8/quickstyle/simple1" qsCatId="simple" csTypeId="urn:microsoft.com/office/officeart/2005/8/colors/accent1_2" csCatId="accent1" phldr="1"/>
      <dgm:spPr/>
    </dgm:pt>
    <dgm:pt modelId="{AE464AA4-609D-6141-B43F-FF02E5F4DFCF}">
      <dgm:prSet phldrT="[Texte]" custT="1"/>
      <dgm:spPr>
        <a:solidFill>
          <a:schemeClr val="bg1">
            <a:lumMod val="65000"/>
            <a:alpha val="70000"/>
          </a:schemeClr>
        </a:solidFill>
      </dgm:spPr>
      <dgm:t>
        <a:bodyPr/>
        <a:lstStyle/>
        <a:p>
          <a:r>
            <a:rPr lang="fr-FR" sz="3100"/>
            <a:t>High tech</a:t>
          </a:r>
        </a:p>
        <a:p>
          <a:r>
            <a:rPr lang="fr-FR" sz="3100"/>
            <a:t> 18 055€</a:t>
          </a:r>
        </a:p>
      </dgm:t>
    </dgm:pt>
    <dgm:pt modelId="{37C604BA-C7B1-E446-91C7-78B80B847B4F}" type="parTrans" cxnId="{02F27B8B-961E-BC42-914D-F709CF1EC86E}">
      <dgm:prSet/>
      <dgm:spPr/>
      <dgm:t>
        <a:bodyPr/>
        <a:lstStyle/>
        <a:p>
          <a:endParaRPr lang="fr-FR"/>
        </a:p>
      </dgm:t>
    </dgm:pt>
    <dgm:pt modelId="{4259AFB8-7723-8D47-8DAB-685D57BD8084}" type="sibTrans" cxnId="{02F27B8B-961E-BC42-914D-F709CF1EC86E}">
      <dgm:prSet/>
      <dgm:spPr/>
      <dgm:t>
        <a:bodyPr/>
        <a:lstStyle/>
        <a:p>
          <a:endParaRPr lang="fr-FR"/>
        </a:p>
      </dgm:t>
    </dgm:pt>
    <dgm:pt modelId="{1F881AFF-C726-1348-ACC3-2BAB35A2D7AD}">
      <dgm:prSet phldrT="[Texte]"/>
      <dgm:spPr>
        <a:solidFill>
          <a:schemeClr val="accent1">
            <a:alpha val="70000"/>
          </a:schemeClr>
        </a:solidFill>
      </dgm:spPr>
      <dgm:t>
        <a:bodyPr/>
        <a:lstStyle/>
        <a:p>
          <a:r>
            <a:rPr lang="fr-FR"/>
            <a:t>Bien de conso 79 291€</a:t>
          </a:r>
        </a:p>
      </dgm:t>
    </dgm:pt>
    <dgm:pt modelId="{8488A52C-8287-E045-9454-9AF249D2D327}" type="parTrans" cxnId="{103AB553-8B6D-D748-AE02-494B7BFF6D3E}">
      <dgm:prSet/>
      <dgm:spPr/>
      <dgm:t>
        <a:bodyPr/>
        <a:lstStyle/>
        <a:p>
          <a:endParaRPr lang="fr-FR"/>
        </a:p>
      </dgm:t>
    </dgm:pt>
    <dgm:pt modelId="{864F1435-72FF-1B4C-A233-49CEECBFA981}" type="sibTrans" cxnId="{103AB553-8B6D-D748-AE02-494B7BFF6D3E}">
      <dgm:prSet/>
      <dgm:spPr/>
      <dgm:t>
        <a:bodyPr/>
        <a:lstStyle/>
        <a:p>
          <a:endParaRPr lang="fr-FR"/>
        </a:p>
      </dgm:t>
    </dgm:pt>
    <dgm:pt modelId="{5D47691C-EDB9-A443-ABCE-A65A7E660B72}">
      <dgm:prSet phldrT="[Texte]"/>
      <dgm:spPr>
        <a:solidFill>
          <a:srgbClr val="FF0000">
            <a:alpha val="70000"/>
          </a:srgbClr>
        </a:solidFill>
      </dgm:spPr>
      <dgm:t>
        <a:bodyPr/>
        <a:lstStyle/>
        <a:p>
          <a:r>
            <a:rPr lang="fr-FR"/>
            <a:t>Nourriture 107 401€</a:t>
          </a:r>
        </a:p>
      </dgm:t>
    </dgm:pt>
    <dgm:pt modelId="{5D673FD1-93AC-A04C-A8B2-4BA443CDD759}" type="parTrans" cxnId="{2395463F-449E-B542-A7FA-16CF52967329}">
      <dgm:prSet/>
      <dgm:spPr/>
      <dgm:t>
        <a:bodyPr/>
        <a:lstStyle/>
        <a:p>
          <a:endParaRPr lang="fr-FR"/>
        </a:p>
      </dgm:t>
    </dgm:pt>
    <dgm:pt modelId="{435D510C-1182-6648-A6EE-14306C2C8A13}" type="sibTrans" cxnId="{2395463F-449E-B542-A7FA-16CF52967329}">
      <dgm:prSet/>
      <dgm:spPr/>
      <dgm:t>
        <a:bodyPr/>
        <a:lstStyle/>
        <a:p>
          <a:endParaRPr lang="fr-FR"/>
        </a:p>
      </dgm:t>
    </dgm:pt>
    <dgm:pt modelId="{9EEE93B6-E9BD-CF47-BBE9-48985093807A}" type="pres">
      <dgm:prSet presAssocID="{7969A143-777D-6B40-87D6-9F25F654CCD3}" presName="Name0" presStyleCnt="0">
        <dgm:presLayoutVars>
          <dgm:dir/>
          <dgm:animLvl val="lvl"/>
          <dgm:resizeHandles val="exact"/>
        </dgm:presLayoutVars>
      </dgm:prSet>
      <dgm:spPr/>
    </dgm:pt>
    <dgm:pt modelId="{77FB2BE0-9DE6-224C-B76A-BB5C7DF24D7B}" type="pres">
      <dgm:prSet presAssocID="{AE464AA4-609D-6141-B43F-FF02E5F4DFCF}" presName="Name8" presStyleCnt="0"/>
      <dgm:spPr/>
    </dgm:pt>
    <dgm:pt modelId="{937B1CD6-55AF-3B49-A9B7-6C43881BE6FA}" type="pres">
      <dgm:prSet presAssocID="{AE464AA4-609D-6141-B43F-FF02E5F4DFCF}" presName="level" presStyleLbl="node1" presStyleIdx="0" presStyleCnt="3">
        <dgm:presLayoutVars>
          <dgm:chMax val="1"/>
          <dgm:bulletEnabled val="1"/>
        </dgm:presLayoutVars>
      </dgm:prSet>
      <dgm:spPr/>
    </dgm:pt>
    <dgm:pt modelId="{836225B2-B35F-2745-A2A4-ED6F5D4665AD}" type="pres">
      <dgm:prSet presAssocID="{AE464AA4-609D-6141-B43F-FF02E5F4DFCF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1C94923E-C759-1D47-91B2-13D43081D7D2}" type="pres">
      <dgm:prSet presAssocID="{1F881AFF-C726-1348-ACC3-2BAB35A2D7AD}" presName="Name8" presStyleCnt="0"/>
      <dgm:spPr/>
    </dgm:pt>
    <dgm:pt modelId="{E320FEDB-6C6D-834A-A912-985D4DF9BB41}" type="pres">
      <dgm:prSet presAssocID="{1F881AFF-C726-1348-ACC3-2BAB35A2D7AD}" presName="level" presStyleLbl="node1" presStyleIdx="1" presStyleCnt="3">
        <dgm:presLayoutVars>
          <dgm:chMax val="1"/>
          <dgm:bulletEnabled val="1"/>
        </dgm:presLayoutVars>
      </dgm:prSet>
      <dgm:spPr/>
    </dgm:pt>
    <dgm:pt modelId="{F4D7CAB5-28B1-CD4E-9922-BC1D9211DAA5}" type="pres">
      <dgm:prSet presAssocID="{1F881AFF-C726-1348-ACC3-2BAB35A2D7AD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581B94B6-2A6F-E846-894E-8F9D147B53DE}" type="pres">
      <dgm:prSet presAssocID="{5D47691C-EDB9-A443-ABCE-A65A7E660B72}" presName="Name8" presStyleCnt="0"/>
      <dgm:spPr/>
    </dgm:pt>
    <dgm:pt modelId="{E392E912-4176-8D47-9844-8BC16A924229}" type="pres">
      <dgm:prSet presAssocID="{5D47691C-EDB9-A443-ABCE-A65A7E660B72}" presName="level" presStyleLbl="node1" presStyleIdx="2" presStyleCnt="3">
        <dgm:presLayoutVars>
          <dgm:chMax val="1"/>
          <dgm:bulletEnabled val="1"/>
        </dgm:presLayoutVars>
      </dgm:prSet>
      <dgm:spPr/>
    </dgm:pt>
    <dgm:pt modelId="{8621C0B2-1AF6-A742-AD7B-367FF50CD9EF}" type="pres">
      <dgm:prSet presAssocID="{5D47691C-EDB9-A443-ABCE-A65A7E660B72}" presName="levelTx" presStyleLbl="revTx" presStyleIdx="0" presStyleCnt="0">
        <dgm:presLayoutVars>
          <dgm:chMax val="1"/>
          <dgm:bulletEnabled val="1"/>
        </dgm:presLayoutVars>
      </dgm:prSet>
      <dgm:spPr/>
    </dgm:pt>
  </dgm:ptLst>
  <dgm:cxnLst>
    <dgm:cxn modelId="{5E87A810-EE04-E44A-8698-32C2F8F24A23}" type="presOf" srcId="{1F881AFF-C726-1348-ACC3-2BAB35A2D7AD}" destId="{E320FEDB-6C6D-834A-A912-985D4DF9BB41}" srcOrd="0" destOrd="0" presId="urn:microsoft.com/office/officeart/2005/8/layout/pyramid1"/>
    <dgm:cxn modelId="{0156141B-8F29-B044-9FEB-1E615EF4DA20}" type="presOf" srcId="{5D47691C-EDB9-A443-ABCE-A65A7E660B72}" destId="{E392E912-4176-8D47-9844-8BC16A924229}" srcOrd="0" destOrd="0" presId="urn:microsoft.com/office/officeart/2005/8/layout/pyramid1"/>
    <dgm:cxn modelId="{B4CABC3D-4224-AA4E-B7BA-B6AC01471DDC}" type="presOf" srcId="{1F881AFF-C726-1348-ACC3-2BAB35A2D7AD}" destId="{F4D7CAB5-28B1-CD4E-9922-BC1D9211DAA5}" srcOrd="1" destOrd="0" presId="urn:microsoft.com/office/officeart/2005/8/layout/pyramid1"/>
    <dgm:cxn modelId="{2395463F-449E-B542-A7FA-16CF52967329}" srcId="{7969A143-777D-6B40-87D6-9F25F654CCD3}" destId="{5D47691C-EDB9-A443-ABCE-A65A7E660B72}" srcOrd="2" destOrd="0" parTransId="{5D673FD1-93AC-A04C-A8B2-4BA443CDD759}" sibTransId="{435D510C-1182-6648-A6EE-14306C2C8A13}"/>
    <dgm:cxn modelId="{103AB553-8B6D-D748-AE02-494B7BFF6D3E}" srcId="{7969A143-777D-6B40-87D6-9F25F654CCD3}" destId="{1F881AFF-C726-1348-ACC3-2BAB35A2D7AD}" srcOrd="1" destOrd="0" parTransId="{8488A52C-8287-E045-9454-9AF249D2D327}" sibTransId="{864F1435-72FF-1B4C-A233-49CEECBFA981}"/>
    <dgm:cxn modelId="{AC36475F-05F6-FE44-A899-1A06F649FF57}" type="presOf" srcId="{7969A143-777D-6B40-87D6-9F25F654CCD3}" destId="{9EEE93B6-E9BD-CF47-BBE9-48985093807A}" srcOrd="0" destOrd="0" presId="urn:microsoft.com/office/officeart/2005/8/layout/pyramid1"/>
    <dgm:cxn modelId="{02F27B8B-961E-BC42-914D-F709CF1EC86E}" srcId="{7969A143-777D-6B40-87D6-9F25F654CCD3}" destId="{AE464AA4-609D-6141-B43F-FF02E5F4DFCF}" srcOrd="0" destOrd="0" parTransId="{37C604BA-C7B1-E446-91C7-78B80B847B4F}" sibTransId="{4259AFB8-7723-8D47-8DAB-685D57BD8084}"/>
    <dgm:cxn modelId="{134E57B2-4DE5-194C-AA2E-D652ED657112}" type="presOf" srcId="{AE464AA4-609D-6141-B43F-FF02E5F4DFCF}" destId="{836225B2-B35F-2745-A2A4-ED6F5D4665AD}" srcOrd="1" destOrd="0" presId="urn:microsoft.com/office/officeart/2005/8/layout/pyramid1"/>
    <dgm:cxn modelId="{D989F6D4-07A2-7545-B029-7C2EB4F2584D}" type="presOf" srcId="{5D47691C-EDB9-A443-ABCE-A65A7E660B72}" destId="{8621C0B2-1AF6-A742-AD7B-367FF50CD9EF}" srcOrd="1" destOrd="0" presId="urn:microsoft.com/office/officeart/2005/8/layout/pyramid1"/>
    <dgm:cxn modelId="{DD837BF0-D684-D540-BC7A-9F3E0FFCB855}" type="presOf" srcId="{AE464AA4-609D-6141-B43F-FF02E5F4DFCF}" destId="{937B1CD6-55AF-3B49-A9B7-6C43881BE6FA}" srcOrd="0" destOrd="0" presId="urn:microsoft.com/office/officeart/2005/8/layout/pyramid1"/>
    <dgm:cxn modelId="{39A16694-9811-7740-B047-A7FA8EEF3DE1}" type="presParOf" srcId="{9EEE93B6-E9BD-CF47-BBE9-48985093807A}" destId="{77FB2BE0-9DE6-224C-B76A-BB5C7DF24D7B}" srcOrd="0" destOrd="0" presId="urn:microsoft.com/office/officeart/2005/8/layout/pyramid1"/>
    <dgm:cxn modelId="{37D529FB-F7C3-D340-BC65-9CA473131D8D}" type="presParOf" srcId="{77FB2BE0-9DE6-224C-B76A-BB5C7DF24D7B}" destId="{937B1CD6-55AF-3B49-A9B7-6C43881BE6FA}" srcOrd="0" destOrd="0" presId="urn:microsoft.com/office/officeart/2005/8/layout/pyramid1"/>
    <dgm:cxn modelId="{EAA13B58-F910-4548-BF82-874AE1337D51}" type="presParOf" srcId="{77FB2BE0-9DE6-224C-B76A-BB5C7DF24D7B}" destId="{836225B2-B35F-2745-A2A4-ED6F5D4665AD}" srcOrd="1" destOrd="0" presId="urn:microsoft.com/office/officeart/2005/8/layout/pyramid1"/>
    <dgm:cxn modelId="{4E614A8D-49CD-4F40-8671-66669418D828}" type="presParOf" srcId="{9EEE93B6-E9BD-CF47-BBE9-48985093807A}" destId="{1C94923E-C759-1D47-91B2-13D43081D7D2}" srcOrd="1" destOrd="0" presId="urn:microsoft.com/office/officeart/2005/8/layout/pyramid1"/>
    <dgm:cxn modelId="{8457A409-A1B0-B846-8D66-55F5F9EB735E}" type="presParOf" srcId="{1C94923E-C759-1D47-91B2-13D43081D7D2}" destId="{E320FEDB-6C6D-834A-A912-985D4DF9BB41}" srcOrd="0" destOrd="0" presId="urn:microsoft.com/office/officeart/2005/8/layout/pyramid1"/>
    <dgm:cxn modelId="{F1E8F52B-C89D-124F-AF40-4250ED05A604}" type="presParOf" srcId="{1C94923E-C759-1D47-91B2-13D43081D7D2}" destId="{F4D7CAB5-28B1-CD4E-9922-BC1D9211DAA5}" srcOrd="1" destOrd="0" presId="urn:microsoft.com/office/officeart/2005/8/layout/pyramid1"/>
    <dgm:cxn modelId="{01E61CA6-6933-204C-9157-38D42EC114B9}" type="presParOf" srcId="{9EEE93B6-E9BD-CF47-BBE9-48985093807A}" destId="{581B94B6-2A6F-E846-894E-8F9D147B53DE}" srcOrd="2" destOrd="0" presId="urn:microsoft.com/office/officeart/2005/8/layout/pyramid1"/>
    <dgm:cxn modelId="{3783FB45-EEB3-4E4A-A967-E09D09D7D607}" type="presParOf" srcId="{581B94B6-2A6F-E846-894E-8F9D147B53DE}" destId="{E392E912-4176-8D47-9844-8BC16A924229}" srcOrd="0" destOrd="0" presId="urn:microsoft.com/office/officeart/2005/8/layout/pyramid1"/>
    <dgm:cxn modelId="{C4C66461-BF48-E040-ABCE-23764F08D4A9}" type="presParOf" srcId="{581B94B6-2A6F-E846-894E-8F9D147B53DE}" destId="{8621C0B2-1AF6-A742-AD7B-367FF50CD9EF}" srcOrd="1" destOrd="0" presId="urn:microsoft.com/office/officeart/2005/8/layout/pyramid1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24654F51-FAEA-A949-B970-B6C03DE0D158}" type="doc">
      <dgm:prSet loTypeId="urn:microsoft.com/office/officeart/2009/3/layout/IncreasingArrowsProcess" loCatId="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fr-FR"/>
        </a:p>
      </dgm:t>
    </dgm:pt>
    <dgm:pt modelId="{FA4D3D93-74FE-1C42-832D-E6FE12885356}">
      <dgm:prSet phldrT="[Texte]" custT="1"/>
      <dgm:spPr/>
      <dgm:t>
        <a:bodyPr/>
        <a:lstStyle/>
        <a:p>
          <a:r>
            <a:rPr lang="fr-FR" sz="1600"/>
            <a:t>Nourriture</a:t>
          </a:r>
        </a:p>
      </dgm:t>
    </dgm:pt>
    <dgm:pt modelId="{DD266706-4679-5240-B6D1-30F881DE59DE}" type="parTrans" cxnId="{EB8C2D66-BA35-964F-B74A-4E5A27AFEE27}">
      <dgm:prSet/>
      <dgm:spPr/>
      <dgm:t>
        <a:bodyPr/>
        <a:lstStyle/>
        <a:p>
          <a:endParaRPr lang="fr-FR"/>
        </a:p>
      </dgm:t>
    </dgm:pt>
    <dgm:pt modelId="{5188DFEB-CE43-0742-95D7-56F132127EEE}" type="sibTrans" cxnId="{EB8C2D66-BA35-964F-B74A-4E5A27AFEE27}">
      <dgm:prSet/>
      <dgm:spPr/>
      <dgm:t>
        <a:bodyPr/>
        <a:lstStyle/>
        <a:p>
          <a:endParaRPr lang="fr-FR"/>
        </a:p>
      </dgm:t>
    </dgm:pt>
    <dgm:pt modelId="{423D3053-9E1D-F740-BD17-13F339AB9B65}">
      <dgm:prSet phldrT="[Texte]" custT="1"/>
      <dgm:spPr/>
      <dgm:t>
        <a:bodyPr/>
        <a:lstStyle/>
        <a:p>
          <a:r>
            <a:rPr lang="fr-FR" sz="2400"/>
            <a:t>107 401€</a:t>
          </a:r>
        </a:p>
      </dgm:t>
    </dgm:pt>
    <dgm:pt modelId="{EA7E7E2A-397F-E149-8811-F64C75FFC8BF}" type="parTrans" cxnId="{9BFD00EE-2984-2249-9269-62E78817E40B}">
      <dgm:prSet/>
      <dgm:spPr/>
      <dgm:t>
        <a:bodyPr/>
        <a:lstStyle/>
        <a:p>
          <a:endParaRPr lang="fr-FR"/>
        </a:p>
      </dgm:t>
    </dgm:pt>
    <dgm:pt modelId="{3AED5270-97D8-664E-8455-1A04D5033A0C}" type="sibTrans" cxnId="{9BFD00EE-2984-2249-9269-62E78817E40B}">
      <dgm:prSet/>
      <dgm:spPr/>
      <dgm:t>
        <a:bodyPr/>
        <a:lstStyle/>
        <a:p>
          <a:endParaRPr lang="fr-FR"/>
        </a:p>
      </dgm:t>
    </dgm:pt>
    <dgm:pt modelId="{A16BC1F0-80DE-ED49-8C77-F2477856B683}">
      <dgm:prSet phldrT="[Texte]" custT="1"/>
      <dgm:spPr/>
      <dgm:t>
        <a:bodyPr/>
        <a:lstStyle/>
        <a:p>
          <a:r>
            <a:rPr lang="fr-FR" sz="1600"/>
            <a:t>Bien de conso</a:t>
          </a:r>
        </a:p>
      </dgm:t>
    </dgm:pt>
    <dgm:pt modelId="{2993241F-7FEC-754A-A8FE-3771E3DC4D35}" type="parTrans" cxnId="{6F43F6A2-A791-F942-AB03-D5965E57BE4B}">
      <dgm:prSet/>
      <dgm:spPr/>
      <dgm:t>
        <a:bodyPr/>
        <a:lstStyle/>
        <a:p>
          <a:endParaRPr lang="fr-FR"/>
        </a:p>
      </dgm:t>
    </dgm:pt>
    <dgm:pt modelId="{54EF6752-ACF1-4243-918C-16EBB136B2B2}" type="sibTrans" cxnId="{6F43F6A2-A791-F942-AB03-D5965E57BE4B}">
      <dgm:prSet/>
      <dgm:spPr/>
      <dgm:t>
        <a:bodyPr/>
        <a:lstStyle/>
        <a:p>
          <a:endParaRPr lang="fr-FR"/>
        </a:p>
      </dgm:t>
    </dgm:pt>
    <dgm:pt modelId="{41B43955-AAE4-2A41-9CC9-6C914AF882B3}">
      <dgm:prSet phldrT="[Texte]" custT="1"/>
      <dgm:spPr/>
      <dgm:t>
        <a:bodyPr/>
        <a:lstStyle/>
        <a:p>
          <a:r>
            <a:rPr lang="fr-FR" sz="2400"/>
            <a:t>79 291€</a:t>
          </a:r>
        </a:p>
      </dgm:t>
    </dgm:pt>
    <dgm:pt modelId="{58F2828B-7AC5-8D41-9231-26585197481E}" type="parTrans" cxnId="{99A24E82-749D-7445-A45E-5869940F049A}">
      <dgm:prSet/>
      <dgm:spPr/>
      <dgm:t>
        <a:bodyPr/>
        <a:lstStyle/>
        <a:p>
          <a:endParaRPr lang="fr-FR"/>
        </a:p>
      </dgm:t>
    </dgm:pt>
    <dgm:pt modelId="{98AD56F0-D021-CB4C-A3E5-6C8CBB38EC9C}" type="sibTrans" cxnId="{99A24E82-749D-7445-A45E-5869940F049A}">
      <dgm:prSet/>
      <dgm:spPr/>
      <dgm:t>
        <a:bodyPr/>
        <a:lstStyle/>
        <a:p>
          <a:endParaRPr lang="fr-FR"/>
        </a:p>
      </dgm:t>
    </dgm:pt>
    <dgm:pt modelId="{0C6A136B-A1E1-C14E-B64C-B92C3DAE1ED8}">
      <dgm:prSet phldrT="[Texte]" custT="1"/>
      <dgm:spPr/>
      <dgm:t>
        <a:bodyPr/>
        <a:lstStyle/>
        <a:p>
          <a:r>
            <a:rPr lang="fr-FR" sz="1600"/>
            <a:t>High tech </a:t>
          </a:r>
        </a:p>
      </dgm:t>
    </dgm:pt>
    <dgm:pt modelId="{28E8E3A0-E5D4-8C4D-8F48-79275F0D34F9}" type="parTrans" cxnId="{DDC0A8AD-5C69-A04C-86DB-0CBEDC461F90}">
      <dgm:prSet/>
      <dgm:spPr/>
      <dgm:t>
        <a:bodyPr/>
        <a:lstStyle/>
        <a:p>
          <a:endParaRPr lang="fr-FR"/>
        </a:p>
      </dgm:t>
    </dgm:pt>
    <dgm:pt modelId="{7FB95D2F-AB67-7143-B0A1-7E13581B77BB}" type="sibTrans" cxnId="{DDC0A8AD-5C69-A04C-86DB-0CBEDC461F90}">
      <dgm:prSet/>
      <dgm:spPr/>
      <dgm:t>
        <a:bodyPr/>
        <a:lstStyle/>
        <a:p>
          <a:endParaRPr lang="fr-FR"/>
        </a:p>
      </dgm:t>
    </dgm:pt>
    <dgm:pt modelId="{D20E08CD-6434-9949-B814-98B0C3CAEDEE}">
      <dgm:prSet phldrT="[Texte]" custT="1"/>
      <dgm:spPr/>
      <dgm:t>
        <a:bodyPr/>
        <a:lstStyle/>
        <a:p>
          <a:r>
            <a:rPr lang="fr-FR" sz="2400"/>
            <a:t>18 055€</a:t>
          </a:r>
        </a:p>
      </dgm:t>
    </dgm:pt>
    <dgm:pt modelId="{120BBF4C-6334-5B4A-99AB-52DDA8452F62}" type="parTrans" cxnId="{F6515395-C163-474F-BEC6-507D3A0A71FE}">
      <dgm:prSet/>
      <dgm:spPr/>
      <dgm:t>
        <a:bodyPr/>
        <a:lstStyle/>
        <a:p>
          <a:endParaRPr lang="fr-FR"/>
        </a:p>
      </dgm:t>
    </dgm:pt>
    <dgm:pt modelId="{0C38D782-4177-A94E-BE13-6B878452DB09}" type="sibTrans" cxnId="{F6515395-C163-474F-BEC6-507D3A0A71FE}">
      <dgm:prSet/>
      <dgm:spPr/>
      <dgm:t>
        <a:bodyPr/>
        <a:lstStyle/>
        <a:p>
          <a:endParaRPr lang="fr-FR"/>
        </a:p>
      </dgm:t>
    </dgm:pt>
    <dgm:pt modelId="{6AE92E1E-33BA-F844-9DDB-67E8A38B9E6D}" type="pres">
      <dgm:prSet presAssocID="{24654F51-FAEA-A949-B970-B6C03DE0D158}" presName="Name0" presStyleCnt="0">
        <dgm:presLayoutVars>
          <dgm:chMax val="5"/>
          <dgm:chPref val="5"/>
          <dgm:dir/>
          <dgm:animLvl val="lvl"/>
        </dgm:presLayoutVars>
      </dgm:prSet>
      <dgm:spPr/>
    </dgm:pt>
    <dgm:pt modelId="{5C74C741-C06E-6940-AA71-0FA1631E008B}" type="pres">
      <dgm:prSet presAssocID="{FA4D3D93-74FE-1C42-832D-E6FE12885356}" presName="parentText1" presStyleLbl="node1" presStyleIdx="0" presStyleCnt="3">
        <dgm:presLayoutVars>
          <dgm:chMax/>
          <dgm:chPref val="3"/>
          <dgm:bulletEnabled val="1"/>
        </dgm:presLayoutVars>
      </dgm:prSet>
      <dgm:spPr/>
    </dgm:pt>
    <dgm:pt modelId="{C7106109-C488-0142-A740-82C2FAD198F7}" type="pres">
      <dgm:prSet presAssocID="{FA4D3D93-74FE-1C42-832D-E6FE12885356}" presName="childText1" presStyleLbl="solidAlignAcc1" presStyleIdx="0" presStyleCnt="3">
        <dgm:presLayoutVars>
          <dgm:chMax val="0"/>
          <dgm:chPref val="0"/>
          <dgm:bulletEnabled val="1"/>
        </dgm:presLayoutVars>
      </dgm:prSet>
      <dgm:spPr/>
    </dgm:pt>
    <dgm:pt modelId="{59390A4D-1136-2744-8CD6-4E10A5772CDE}" type="pres">
      <dgm:prSet presAssocID="{A16BC1F0-80DE-ED49-8C77-F2477856B683}" presName="parentText2" presStyleLbl="node1" presStyleIdx="1" presStyleCnt="3">
        <dgm:presLayoutVars>
          <dgm:chMax/>
          <dgm:chPref val="3"/>
          <dgm:bulletEnabled val="1"/>
        </dgm:presLayoutVars>
      </dgm:prSet>
      <dgm:spPr/>
    </dgm:pt>
    <dgm:pt modelId="{BDCE4F53-B1F7-2D47-AB28-D3E635A6EDF7}" type="pres">
      <dgm:prSet presAssocID="{A16BC1F0-80DE-ED49-8C77-F2477856B683}" presName="childText2" presStyleLbl="solidAlignAcc1" presStyleIdx="1" presStyleCnt="3">
        <dgm:presLayoutVars>
          <dgm:chMax val="0"/>
          <dgm:chPref val="0"/>
          <dgm:bulletEnabled val="1"/>
        </dgm:presLayoutVars>
      </dgm:prSet>
      <dgm:spPr/>
    </dgm:pt>
    <dgm:pt modelId="{62D17706-97FA-EF4A-9790-2D276379EA11}" type="pres">
      <dgm:prSet presAssocID="{0C6A136B-A1E1-C14E-B64C-B92C3DAE1ED8}" presName="parentText3" presStyleLbl="node1" presStyleIdx="2" presStyleCnt="3">
        <dgm:presLayoutVars>
          <dgm:chMax/>
          <dgm:chPref val="3"/>
          <dgm:bulletEnabled val="1"/>
        </dgm:presLayoutVars>
      </dgm:prSet>
      <dgm:spPr/>
    </dgm:pt>
    <dgm:pt modelId="{7E019151-6CB0-C947-9B01-FD265C23FC2C}" type="pres">
      <dgm:prSet presAssocID="{0C6A136B-A1E1-C14E-B64C-B92C3DAE1ED8}" presName="childText3" presStyleLbl="solidAlignAcc1" presStyleIdx="2" presStyleCnt="3">
        <dgm:presLayoutVars>
          <dgm:chMax val="0"/>
          <dgm:chPref val="0"/>
          <dgm:bulletEnabled val="1"/>
        </dgm:presLayoutVars>
      </dgm:prSet>
      <dgm:spPr/>
    </dgm:pt>
  </dgm:ptLst>
  <dgm:cxnLst>
    <dgm:cxn modelId="{1E9DAC10-FB4D-584F-B696-4226BDD2F5B5}" type="presOf" srcId="{24654F51-FAEA-A949-B970-B6C03DE0D158}" destId="{6AE92E1E-33BA-F844-9DDB-67E8A38B9E6D}" srcOrd="0" destOrd="0" presId="urn:microsoft.com/office/officeart/2009/3/layout/IncreasingArrowsProcess"/>
    <dgm:cxn modelId="{5660B722-8EE8-DF41-BD25-4EE7F9B3415F}" type="presOf" srcId="{A16BC1F0-80DE-ED49-8C77-F2477856B683}" destId="{59390A4D-1136-2744-8CD6-4E10A5772CDE}" srcOrd="0" destOrd="0" presId="urn:microsoft.com/office/officeart/2009/3/layout/IncreasingArrowsProcess"/>
    <dgm:cxn modelId="{A1504B2A-9825-8A49-BE89-8EDCC5EDA181}" type="presOf" srcId="{FA4D3D93-74FE-1C42-832D-E6FE12885356}" destId="{5C74C741-C06E-6940-AA71-0FA1631E008B}" srcOrd="0" destOrd="0" presId="urn:microsoft.com/office/officeart/2009/3/layout/IncreasingArrowsProcess"/>
    <dgm:cxn modelId="{EB8C2D66-BA35-964F-B74A-4E5A27AFEE27}" srcId="{24654F51-FAEA-A949-B970-B6C03DE0D158}" destId="{FA4D3D93-74FE-1C42-832D-E6FE12885356}" srcOrd="0" destOrd="0" parTransId="{DD266706-4679-5240-B6D1-30F881DE59DE}" sibTransId="{5188DFEB-CE43-0742-95D7-56F132127EEE}"/>
    <dgm:cxn modelId="{695D7871-F729-1347-8BEE-B3164CDA15A4}" type="presOf" srcId="{423D3053-9E1D-F740-BD17-13F339AB9B65}" destId="{C7106109-C488-0142-A740-82C2FAD198F7}" srcOrd="0" destOrd="0" presId="urn:microsoft.com/office/officeart/2009/3/layout/IncreasingArrowsProcess"/>
    <dgm:cxn modelId="{99A24E82-749D-7445-A45E-5869940F049A}" srcId="{A16BC1F0-80DE-ED49-8C77-F2477856B683}" destId="{41B43955-AAE4-2A41-9CC9-6C914AF882B3}" srcOrd="0" destOrd="0" parTransId="{58F2828B-7AC5-8D41-9231-26585197481E}" sibTransId="{98AD56F0-D021-CB4C-A3E5-6C8CBB38EC9C}"/>
    <dgm:cxn modelId="{F6515395-C163-474F-BEC6-507D3A0A71FE}" srcId="{0C6A136B-A1E1-C14E-B64C-B92C3DAE1ED8}" destId="{D20E08CD-6434-9949-B814-98B0C3CAEDEE}" srcOrd="0" destOrd="0" parTransId="{120BBF4C-6334-5B4A-99AB-52DDA8452F62}" sibTransId="{0C38D782-4177-A94E-BE13-6B878452DB09}"/>
    <dgm:cxn modelId="{6F43F6A2-A791-F942-AB03-D5965E57BE4B}" srcId="{24654F51-FAEA-A949-B970-B6C03DE0D158}" destId="{A16BC1F0-80DE-ED49-8C77-F2477856B683}" srcOrd="1" destOrd="0" parTransId="{2993241F-7FEC-754A-A8FE-3771E3DC4D35}" sibTransId="{54EF6752-ACF1-4243-918C-16EBB136B2B2}"/>
    <dgm:cxn modelId="{DDC0A8AD-5C69-A04C-86DB-0CBEDC461F90}" srcId="{24654F51-FAEA-A949-B970-B6C03DE0D158}" destId="{0C6A136B-A1E1-C14E-B64C-B92C3DAE1ED8}" srcOrd="2" destOrd="0" parTransId="{28E8E3A0-E5D4-8C4D-8F48-79275F0D34F9}" sibTransId="{7FB95D2F-AB67-7143-B0A1-7E13581B77BB}"/>
    <dgm:cxn modelId="{F8064CB7-D55D-1242-A964-D8C263F36BCB}" type="presOf" srcId="{0C6A136B-A1E1-C14E-B64C-B92C3DAE1ED8}" destId="{62D17706-97FA-EF4A-9790-2D276379EA11}" srcOrd="0" destOrd="0" presId="urn:microsoft.com/office/officeart/2009/3/layout/IncreasingArrowsProcess"/>
    <dgm:cxn modelId="{094173E1-450A-9446-957F-BE52AC5F339C}" type="presOf" srcId="{41B43955-AAE4-2A41-9CC9-6C914AF882B3}" destId="{BDCE4F53-B1F7-2D47-AB28-D3E635A6EDF7}" srcOrd="0" destOrd="0" presId="urn:microsoft.com/office/officeart/2009/3/layout/IncreasingArrowsProcess"/>
    <dgm:cxn modelId="{9BFD00EE-2984-2249-9269-62E78817E40B}" srcId="{FA4D3D93-74FE-1C42-832D-E6FE12885356}" destId="{423D3053-9E1D-F740-BD17-13F339AB9B65}" srcOrd="0" destOrd="0" parTransId="{EA7E7E2A-397F-E149-8811-F64C75FFC8BF}" sibTransId="{3AED5270-97D8-664E-8455-1A04D5033A0C}"/>
    <dgm:cxn modelId="{32E54FF7-3859-174D-AB51-BBDF61F27658}" type="presOf" srcId="{D20E08CD-6434-9949-B814-98B0C3CAEDEE}" destId="{7E019151-6CB0-C947-9B01-FD265C23FC2C}" srcOrd="0" destOrd="0" presId="urn:microsoft.com/office/officeart/2009/3/layout/IncreasingArrowsProcess"/>
    <dgm:cxn modelId="{ADDF8720-73AF-9542-9B34-21B607CF8E6B}" type="presParOf" srcId="{6AE92E1E-33BA-F844-9DDB-67E8A38B9E6D}" destId="{5C74C741-C06E-6940-AA71-0FA1631E008B}" srcOrd="0" destOrd="0" presId="urn:microsoft.com/office/officeart/2009/3/layout/IncreasingArrowsProcess"/>
    <dgm:cxn modelId="{5CA1724A-2D58-CD4E-B442-AF631601A398}" type="presParOf" srcId="{6AE92E1E-33BA-F844-9DDB-67E8A38B9E6D}" destId="{C7106109-C488-0142-A740-82C2FAD198F7}" srcOrd="1" destOrd="0" presId="urn:microsoft.com/office/officeart/2009/3/layout/IncreasingArrowsProcess"/>
    <dgm:cxn modelId="{09B9EDD1-B86C-3948-8E41-AF5A0B14C11E}" type="presParOf" srcId="{6AE92E1E-33BA-F844-9DDB-67E8A38B9E6D}" destId="{59390A4D-1136-2744-8CD6-4E10A5772CDE}" srcOrd="2" destOrd="0" presId="urn:microsoft.com/office/officeart/2009/3/layout/IncreasingArrowsProcess"/>
    <dgm:cxn modelId="{8B6CECA8-E038-824B-BB34-AC60F59659EB}" type="presParOf" srcId="{6AE92E1E-33BA-F844-9DDB-67E8A38B9E6D}" destId="{BDCE4F53-B1F7-2D47-AB28-D3E635A6EDF7}" srcOrd="3" destOrd="0" presId="urn:microsoft.com/office/officeart/2009/3/layout/IncreasingArrowsProcess"/>
    <dgm:cxn modelId="{30BE8DEF-54ED-484F-83E8-6B1AFAC5D1AA}" type="presParOf" srcId="{6AE92E1E-33BA-F844-9DDB-67E8A38B9E6D}" destId="{62D17706-97FA-EF4A-9790-2D276379EA11}" srcOrd="4" destOrd="0" presId="urn:microsoft.com/office/officeart/2009/3/layout/IncreasingArrowsProcess"/>
    <dgm:cxn modelId="{82B7ECFC-82DA-A940-93E4-133B3C049559}" type="presParOf" srcId="{6AE92E1E-33BA-F844-9DDB-67E8A38B9E6D}" destId="{7E019151-6CB0-C947-9B01-FD265C23FC2C}" srcOrd="5" destOrd="0" presId="urn:microsoft.com/office/officeart/2009/3/layout/IncreasingArrowsProcess"/>
  </dgm:cxnLst>
  <dgm:bg/>
  <dgm:whole/>
  <dgm:extLst>
    <a:ext uri="http://schemas.microsoft.com/office/drawing/2008/diagram">
      <dsp:dataModelExt xmlns:dsp="http://schemas.microsoft.com/office/drawing/2008/diagram" relId="rId1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80B18EB-6E5F-AB46-9128-9FDB81E29CC7}">
      <dsp:nvSpPr>
        <dsp:cNvPr id="0" name=""/>
        <dsp:cNvSpPr/>
      </dsp:nvSpPr>
      <dsp:spPr>
        <a:xfrm>
          <a:off x="1078992" y="0"/>
          <a:ext cx="987552" cy="548640"/>
        </a:xfrm>
        <a:prstGeom prst="roundRect">
          <a:avLst>
            <a:gd name="adj" fmla="val 10000"/>
          </a:avLst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87630" tIns="87630" rIns="87630" bIns="87630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2300" kern="1200"/>
            <a:t>37%</a:t>
          </a:r>
        </a:p>
      </dsp:txBody>
      <dsp:txXfrm>
        <a:off x="1095061" y="16069"/>
        <a:ext cx="955414" cy="516502"/>
      </dsp:txXfrm>
    </dsp:sp>
    <dsp:sp modelId="{67F32874-91DD-6242-91BB-17177072BB79}">
      <dsp:nvSpPr>
        <dsp:cNvPr id="0" name=""/>
        <dsp:cNvSpPr/>
      </dsp:nvSpPr>
      <dsp:spPr>
        <a:xfrm>
          <a:off x="2505456" y="0"/>
          <a:ext cx="987552" cy="548640"/>
        </a:xfrm>
        <a:prstGeom prst="roundRect">
          <a:avLst>
            <a:gd name="adj" fmla="val 10000"/>
          </a:avLst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87630" tIns="87630" rIns="87630" bIns="87630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2300" kern="1200"/>
            <a:t>63%</a:t>
          </a:r>
        </a:p>
      </dsp:txBody>
      <dsp:txXfrm>
        <a:off x="2521525" y="16069"/>
        <a:ext cx="955414" cy="516502"/>
      </dsp:txXfrm>
    </dsp:sp>
    <dsp:sp modelId="{BDBCDF0E-040D-6B44-8DD2-2F896392DE73}">
      <dsp:nvSpPr>
        <dsp:cNvPr id="0" name=""/>
        <dsp:cNvSpPr/>
      </dsp:nvSpPr>
      <dsp:spPr>
        <a:xfrm>
          <a:off x="2080260" y="2331720"/>
          <a:ext cx="411480" cy="411480"/>
        </a:xfrm>
        <a:prstGeom prst="triangle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2D237993-BBA7-7946-9FD7-97C63715746D}">
      <dsp:nvSpPr>
        <dsp:cNvPr id="0" name=""/>
        <dsp:cNvSpPr/>
      </dsp:nvSpPr>
      <dsp:spPr>
        <a:xfrm rot="240000">
          <a:off x="1051182" y="2155396"/>
          <a:ext cx="2469634" cy="172693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A2013414-9A37-0F49-BF7B-122898A7CEB6}">
      <dsp:nvSpPr>
        <dsp:cNvPr id="0" name=""/>
        <dsp:cNvSpPr/>
      </dsp:nvSpPr>
      <dsp:spPr>
        <a:xfrm rot="240000">
          <a:off x="2518388" y="1461041"/>
          <a:ext cx="1016551" cy="720886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500" kern="1200"/>
            <a:t>Nourriture</a:t>
          </a:r>
        </a:p>
      </dsp:txBody>
      <dsp:txXfrm>
        <a:off x="2553579" y="1496232"/>
        <a:ext cx="946169" cy="650504"/>
      </dsp:txXfrm>
    </dsp:sp>
    <dsp:sp modelId="{89E251FE-C5F7-8642-98DC-FC0C997042FF}">
      <dsp:nvSpPr>
        <dsp:cNvPr id="0" name=""/>
        <dsp:cNvSpPr/>
      </dsp:nvSpPr>
      <dsp:spPr>
        <a:xfrm rot="240000">
          <a:off x="2573252" y="714891"/>
          <a:ext cx="1016551" cy="720886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500" kern="1200"/>
            <a:t>Nourriture</a:t>
          </a:r>
        </a:p>
      </dsp:txBody>
      <dsp:txXfrm>
        <a:off x="2608443" y="750082"/>
        <a:ext cx="946169" cy="650504"/>
      </dsp:txXfrm>
    </dsp:sp>
    <dsp:sp modelId="{D038D80B-333B-3643-B55D-14CF89B9E80E}">
      <dsp:nvSpPr>
        <dsp:cNvPr id="0" name=""/>
        <dsp:cNvSpPr/>
      </dsp:nvSpPr>
      <dsp:spPr>
        <a:xfrm rot="240000">
          <a:off x="1105640" y="1362286"/>
          <a:ext cx="1016551" cy="720886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500" kern="1200"/>
            <a:t>Bien de conso</a:t>
          </a:r>
        </a:p>
      </dsp:txBody>
      <dsp:txXfrm>
        <a:off x="1140831" y="1397477"/>
        <a:ext cx="946169" cy="650504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37B1CD6-55AF-3B49-A9B7-6C43881BE6FA}">
      <dsp:nvSpPr>
        <dsp:cNvPr id="0" name=""/>
        <dsp:cNvSpPr/>
      </dsp:nvSpPr>
      <dsp:spPr>
        <a:xfrm>
          <a:off x="1799166" y="0"/>
          <a:ext cx="1799166" cy="1403350"/>
        </a:xfrm>
        <a:prstGeom prst="trapezoid">
          <a:avLst>
            <a:gd name="adj" fmla="val 64103"/>
          </a:avLst>
        </a:prstGeom>
        <a:solidFill>
          <a:schemeClr val="bg1">
            <a:lumMod val="65000"/>
            <a:alpha val="7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9370" tIns="39370" rIns="39370" bIns="39370" numCol="1" spcCol="1270" anchor="ctr" anchorCtr="0">
          <a:noAutofit/>
        </a:bodyPr>
        <a:lstStyle/>
        <a:p>
          <a:pPr marL="0" lvl="0" indent="0" algn="ctr" defTabSz="1377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3100" kern="1200"/>
            <a:t>High tech</a:t>
          </a:r>
        </a:p>
        <a:p>
          <a:pPr marL="0" lvl="0" indent="0" algn="ctr" defTabSz="1377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3100" kern="1200"/>
            <a:t> 18 055€</a:t>
          </a:r>
        </a:p>
      </dsp:txBody>
      <dsp:txXfrm>
        <a:off x="1799166" y="0"/>
        <a:ext cx="1799166" cy="1403350"/>
      </dsp:txXfrm>
    </dsp:sp>
    <dsp:sp modelId="{E320FEDB-6C6D-834A-A912-985D4DF9BB41}">
      <dsp:nvSpPr>
        <dsp:cNvPr id="0" name=""/>
        <dsp:cNvSpPr/>
      </dsp:nvSpPr>
      <dsp:spPr>
        <a:xfrm>
          <a:off x="899583" y="1403349"/>
          <a:ext cx="3598333" cy="1403350"/>
        </a:xfrm>
        <a:prstGeom prst="trapezoid">
          <a:avLst>
            <a:gd name="adj" fmla="val 64103"/>
          </a:avLst>
        </a:prstGeom>
        <a:solidFill>
          <a:schemeClr val="accent1">
            <a:alpha val="7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9370" tIns="39370" rIns="39370" bIns="39370" numCol="1" spcCol="1270" anchor="ctr" anchorCtr="0">
          <a:noAutofit/>
        </a:bodyPr>
        <a:lstStyle/>
        <a:p>
          <a:pPr marL="0" lvl="0" indent="0" algn="ctr" defTabSz="1377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3100" kern="1200"/>
            <a:t>Bien de conso 79 291€</a:t>
          </a:r>
        </a:p>
      </dsp:txBody>
      <dsp:txXfrm>
        <a:off x="1529291" y="1403349"/>
        <a:ext cx="2338916" cy="1403350"/>
      </dsp:txXfrm>
    </dsp:sp>
    <dsp:sp modelId="{E392E912-4176-8D47-9844-8BC16A924229}">
      <dsp:nvSpPr>
        <dsp:cNvPr id="0" name=""/>
        <dsp:cNvSpPr/>
      </dsp:nvSpPr>
      <dsp:spPr>
        <a:xfrm>
          <a:off x="0" y="2806699"/>
          <a:ext cx="5397499" cy="1403350"/>
        </a:xfrm>
        <a:prstGeom prst="trapezoid">
          <a:avLst>
            <a:gd name="adj" fmla="val 64103"/>
          </a:avLst>
        </a:prstGeom>
        <a:solidFill>
          <a:srgbClr val="FF0000">
            <a:alpha val="70000"/>
          </a:srgb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9370" tIns="39370" rIns="39370" bIns="39370" numCol="1" spcCol="1270" anchor="ctr" anchorCtr="0">
          <a:noAutofit/>
        </a:bodyPr>
        <a:lstStyle/>
        <a:p>
          <a:pPr marL="0" lvl="0" indent="0" algn="ctr" defTabSz="1377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3100" kern="1200"/>
            <a:t>Nourriture 107 401€</a:t>
          </a:r>
        </a:p>
      </dsp:txBody>
      <dsp:txXfrm>
        <a:off x="944562" y="2806699"/>
        <a:ext cx="3508374" cy="1403350"/>
      </dsp:txXfrm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C74C741-C06E-6940-AA71-0FA1631E008B}">
      <dsp:nvSpPr>
        <dsp:cNvPr id="0" name=""/>
        <dsp:cNvSpPr/>
      </dsp:nvSpPr>
      <dsp:spPr>
        <a:xfrm>
          <a:off x="13182" y="267358"/>
          <a:ext cx="4545635" cy="662017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254000" bIns="105095" numCol="1" spcCol="1270" anchor="ctr" anchorCtr="0">
          <a:noAutofit/>
        </a:bodyPr>
        <a:lstStyle/>
        <a:p>
          <a:pPr marL="0" lvl="0" indent="0" algn="l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600" kern="1200"/>
            <a:t>Nourriture</a:t>
          </a:r>
        </a:p>
      </dsp:txBody>
      <dsp:txXfrm>
        <a:off x="13182" y="432862"/>
        <a:ext cx="4380131" cy="331009"/>
      </dsp:txXfrm>
    </dsp:sp>
    <dsp:sp modelId="{C7106109-C488-0142-A740-82C2FAD198F7}">
      <dsp:nvSpPr>
        <dsp:cNvPr id="0" name=""/>
        <dsp:cNvSpPr/>
      </dsp:nvSpPr>
      <dsp:spPr>
        <a:xfrm>
          <a:off x="13182" y="777870"/>
          <a:ext cx="1400055" cy="1275289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91440" tIns="91440" rIns="91440" bIns="91440" numCol="1" spcCol="1270" anchor="t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2400" kern="1200"/>
            <a:t>107 401€</a:t>
          </a:r>
        </a:p>
      </dsp:txBody>
      <dsp:txXfrm>
        <a:off x="13182" y="777870"/>
        <a:ext cx="1400055" cy="1275289"/>
      </dsp:txXfrm>
    </dsp:sp>
    <dsp:sp modelId="{59390A4D-1136-2744-8CD6-4E10A5772CDE}">
      <dsp:nvSpPr>
        <dsp:cNvPr id="0" name=""/>
        <dsp:cNvSpPr/>
      </dsp:nvSpPr>
      <dsp:spPr>
        <a:xfrm>
          <a:off x="1413238" y="488031"/>
          <a:ext cx="3145579" cy="662017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254000" bIns="105095" numCol="1" spcCol="1270" anchor="ctr" anchorCtr="0">
          <a:noAutofit/>
        </a:bodyPr>
        <a:lstStyle/>
        <a:p>
          <a:pPr marL="0" lvl="0" indent="0" algn="l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600" kern="1200"/>
            <a:t>Bien de conso</a:t>
          </a:r>
        </a:p>
      </dsp:txBody>
      <dsp:txXfrm>
        <a:off x="1413238" y="653535"/>
        <a:ext cx="2980075" cy="331009"/>
      </dsp:txXfrm>
    </dsp:sp>
    <dsp:sp modelId="{BDCE4F53-B1F7-2D47-AB28-D3E635A6EDF7}">
      <dsp:nvSpPr>
        <dsp:cNvPr id="0" name=""/>
        <dsp:cNvSpPr/>
      </dsp:nvSpPr>
      <dsp:spPr>
        <a:xfrm>
          <a:off x="1413238" y="998542"/>
          <a:ext cx="1400055" cy="1275289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91440" tIns="91440" rIns="91440" bIns="91440" numCol="1" spcCol="1270" anchor="t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2400" kern="1200"/>
            <a:t>79 291€</a:t>
          </a:r>
        </a:p>
      </dsp:txBody>
      <dsp:txXfrm>
        <a:off x="1413238" y="998542"/>
        <a:ext cx="1400055" cy="1275289"/>
      </dsp:txXfrm>
    </dsp:sp>
    <dsp:sp modelId="{62D17706-97FA-EF4A-9790-2D276379EA11}">
      <dsp:nvSpPr>
        <dsp:cNvPr id="0" name=""/>
        <dsp:cNvSpPr/>
      </dsp:nvSpPr>
      <dsp:spPr>
        <a:xfrm>
          <a:off x="2813293" y="708703"/>
          <a:ext cx="1745523" cy="662017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254000" bIns="105095" numCol="1" spcCol="1270" anchor="ctr" anchorCtr="0">
          <a:noAutofit/>
        </a:bodyPr>
        <a:lstStyle/>
        <a:p>
          <a:pPr marL="0" lvl="0" indent="0" algn="l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600" kern="1200"/>
            <a:t>High tech </a:t>
          </a:r>
        </a:p>
      </dsp:txBody>
      <dsp:txXfrm>
        <a:off x="2813293" y="874207"/>
        <a:ext cx="1580019" cy="331009"/>
      </dsp:txXfrm>
    </dsp:sp>
    <dsp:sp modelId="{7E019151-6CB0-C947-9B01-FD265C23FC2C}">
      <dsp:nvSpPr>
        <dsp:cNvPr id="0" name=""/>
        <dsp:cNvSpPr/>
      </dsp:nvSpPr>
      <dsp:spPr>
        <a:xfrm>
          <a:off x="2813293" y="1219215"/>
          <a:ext cx="1400055" cy="1256625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91440" tIns="91440" rIns="91440" bIns="91440" numCol="1" spcCol="1270" anchor="t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2400" kern="1200"/>
            <a:t>18 055€</a:t>
          </a:r>
        </a:p>
      </dsp:txBody>
      <dsp:txXfrm>
        <a:off x="2813293" y="1219215"/>
        <a:ext cx="1400055" cy="1256625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balance1">
  <dgm:title val=""/>
  <dgm:desc val=""/>
  <dgm:catLst>
    <dgm:cat type="relationship" pri="1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23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  <dgm:cxn modelId="25" srcId="2" destId="23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2"/>
        <dgm:pt modelId="21"/>
        <dgm:pt modelId="22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12"/>
        <dgm:pt modelId="13"/>
        <dgm:pt modelId="2"/>
        <dgm:pt modelId="21"/>
        <dgm:pt modelId="22"/>
        <dgm:pt modelId="23"/>
      </dgm:ptLst>
      <dgm:cxnLst>
        <dgm:cxn modelId="4" srcId="0" destId="1" srcOrd="0" destOrd="0"/>
        <dgm:cxn modelId="5" srcId="0" destId="2" srcOrd="1" destOrd="0"/>
        <dgm:cxn modelId="15" srcId="1" destId="11" srcOrd="0" destOrd="0"/>
        <dgm:cxn modelId="16" srcId="1" destId="12" srcOrd="0" destOrd="0"/>
        <dgm:cxn modelId="17" srcId="1" destId="13" srcOrd="0" destOrd="0"/>
        <dgm:cxn modelId="25" srcId="2" destId="21" srcOrd="0" destOrd="0"/>
        <dgm:cxn modelId="26" srcId="2" destId="22" srcOrd="0" destOrd="0"/>
        <dgm:cxn modelId="27" srcId="2" destId="23" srcOrd="0" destOrd="0"/>
      </dgm:cxnLst>
      <dgm:bg/>
      <dgm:whole/>
    </dgm:dataModel>
  </dgm:clrData>
  <dgm:layoutNode name="outerComposite">
    <dgm:varLst>
      <dgm:chMax val="2"/>
      <dgm:animLvl val="lvl"/>
      <dgm:resizeHandles val="exact"/>
    </dgm:varLst>
    <dgm:alg type="composite">
      <dgm:param type="ar" val="1"/>
    </dgm:alg>
    <dgm:shape xmlns:r="http://schemas.openxmlformats.org/officeDocument/2006/relationships" r:blip="">
      <dgm:adjLst/>
    </dgm:shape>
    <dgm:presOf/>
    <dgm:constrLst>
      <dgm:constr type="h" for="ch" forName="parentComposite" refType="h" refFor="ch" refForName="dummyMaxCanvas" op="equ" fact="0.2"/>
      <dgm:constr type="t" for="ch" forName="parentComposite"/>
      <dgm:constr type="h" for="ch" forName="childrenComposite" refType="h" refFor="ch" refForName="dummyMaxCanvas" op="equ" fact="0.8"/>
      <dgm:constr type="t" for="ch" forName="childrenComposite" refType="h" refFor="ch" refForName="dummyMaxCanvas" fact="0.2"/>
    </dgm:constrLst>
    <dgm:ruleLst/>
    <dgm:layoutNode name="dummyMaxCanvas">
      <dgm:alg type="sp"/>
      <dgm:shape xmlns:r="http://schemas.openxmlformats.org/officeDocument/2006/relationships" r:blip="">
        <dgm:adjLst/>
      </dgm:shape>
      <dgm:presOf/>
      <dgm:constrLst/>
      <dgm:ruleLst/>
    </dgm:layoutNode>
    <dgm:layoutNode name="parentComposite">
      <dgm:alg type="composite"/>
      <dgm:shape xmlns:r="http://schemas.openxmlformats.org/officeDocument/2006/relationships" r:blip="">
        <dgm:adjLst/>
      </dgm:shape>
      <dgm:presOf/>
      <dgm:constrLst>
        <dgm:constr type="w" for="ch" forName="parent1" refType="w" fact="0.36"/>
        <dgm:constr type="ctrX" for="ch" forName="parent1" refType="w" fact="0.24"/>
        <dgm:constr type="w" for="ch" forName="parent2" refType="w" fact="0.36"/>
        <dgm:constr type="ctrX" for="ch" forName="parent2" refType="w" fact="0.76"/>
        <dgm:constr type="primFontSz" for="ch" ptType="node" op="equ"/>
      </dgm:constrLst>
      <dgm:ruleLst/>
      <dgm:layoutNode name="parent1" styleLbl="alignAccFollowNode1">
        <dgm:varLst>
          <dgm:chMax val="4"/>
        </dgm:varLst>
        <dgm:alg type="tx"/>
        <dgm:shape xmlns:r="http://schemas.openxmlformats.org/officeDocument/2006/relationships" type="roundRect" r:blip="">
          <dgm:adjLst>
            <dgm:adj idx="1" val="0.1"/>
          </dgm:adjLst>
        </dgm:shape>
        <dgm:presOf axis="ch" ptType="node" cnt="1"/>
        <dgm:constrLst>
          <dgm:constr type="primFontSz" val="65"/>
          <dgm:constr type="lMarg" refType="primFontSz" fact="0.3"/>
          <dgm:constr type="rMarg" refType="primFontSz" fact="0.3"/>
          <dgm:constr type="tMarg" refType="primFontSz" fact="0.3"/>
          <dgm:constr type="bMarg" refType="primFontSz" fact="0.3"/>
        </dgm:constrLst>
        <dgm:ruleLst>
          <dgm:rule type="primFontSz" val="5" fact="NaN" max="NaN"/>
        </dgm:ruleLst>
      </dgm:layoutNode>
      <dgm:layoutNode name="parent2" styleLbl="alignAccFollowNode1">
        <dgm:varLst>
          <dgm:chMax val="4"/>
        </dgm:varLst>
        <dgm:alg type="tx"/>
        <dgm:shape xmlns:r="http://schemas.openxmlformats.org/officeDocument/2006/relationships" type="roundRect" r:blip="">
          <dgm:adjLst>
            <dgm:adj idx="1" val="0.1"/>
          </dgm:adjLst>
        </dgm:shape>
        <dgm:presOf axis="ch" ptType="node" st="2" cnt="1"/>
        <dgm:constrLst>
          <dgm:constr type="primFontSz" val="65"/>
          <dgm:constr type="lMarg" refType="primFontSz" fact="0.3"/>
          <dgm:constr type="rMarg" refType="primFontSz" fact="0.3"/>
          <dgm:constr type="tMarg" refType="primFontSz" fact="0.3"/>
          <dgm:constr type="bMarg" refType="primFontSz" fact="0.3"/>
        </dgm:constrLst>
        <dgm:ruleLst>
          <dgm:rule type="primFontSz" val="5" fact="NaN" max="NaN"/>
        </dgm:ruleLst>
      </dgm:layoutNode>
    </dgm:layoutNode>
    <dgm:layoutNode name="childrenComposite">
      <dgm:alg type="composite"/>
      <dgm:shape xmlns:r="http://schemas.openxmlformats.org/officeDocument/2006/relationships" r:blip="">
        <dgm:adjLst/>
      </dgm:shape>
      <dgm:presOf/>
      <dgm:constrLst>
        <dgm:constr type="primFontSz" for="ch" ptType="node" op="equ" val="65"/>
        <dgm:constr type="w" for="ch" forName="fulcrum" refType="w" fact="0.15"/>
        <dgm:constr type="h" for="ch" forName="fulcrum" refType="w" refFor="ch" refForName="fulcrum"/>
        <dgm:constr type="b" for="ch" forName="fulcrum" refType="h"/>
        <dgm:constr type="ctrX" for="ch" forName="fulcrum" refType="w" fact="0.5"/>
        <dgm:constr type="w" for="ch" forName="balance_00" refType="w" fact="0.9"/>
        <dgm:constr type="h" for="ch" forName="balance_00" refType="h" fact="0.076"/>
        <dgm:constr type="b" for="ch" forName="balance_00" refType="h" fact="0.81"/>
        <dgm:constr type="ctrX" for="ch" forName="balance_00" refType="w" fact="0.5"/>
        <dgm:constr type="w" for="ch" forName="balance_01" refType="w"/>
        <dgm:constr type="h" for="ch" forName="balance_01" refType="h" fact="0.157"/>
        <dgm:constr type="b" for="ch" forName="balance_01" refType="h" fact="0.85"/>
        <dgm:constr type="ctrX" for="ch" forName="balance_01" refType="w" fact="0.5"/>
        <dgm:constr type="w" for="ch" forName="balance_02" refType="w"/>
        <dgm:constr type="h" for="ch" forName="balance_02" refType="h" fact="0.157"/>
        <dgm:constr type="b" for="ch" forName="balance_02" refType="h" fact="0.85"/>
        <dgm:constr type="ctrX" for="ch" forName="balance_02" refType="w" fact="0.5"/>
        <dgm:constr type="w" for="ch" forName="balance_03" refType="w"/>
        <dgm:constr type="h" for="ch" forName="balance_03" refType="h" fact="0.157"/>
        <dgm:constr type="b" for="ch" forName="balance_03" refType="h" fact="0.85"/>
        <dgm:constr type="ctrX" for="ch" forName="balance_03" refType="w" fact="0.5"/>
        <dgm:constr type="w" for="ch" forName="balance_04" refType="w"/>
        <dgm:constr type="h" for="ch" forName="balance_04" refType="h" fact="0.157"/>
        <dgm:constr type="b" for="ch" forName="balance_04" refType="h" fact="0.85"/>
        <dgm:constr type="ctrX" for="ch" forName="balance_04" refType="w" fact="0.5"/>
        <dgm:constr type="w" for="ch" forName="balance_10" refType="w"/>
        <dgm:constr type="h" for="ch" forName="balance_10" refType="h" fact="0.157"/>
        <dgm:constr type="b" for="ch" forName="balance_10" refType="h" fact="0.85"/>
        <dgm:constr type="ctrX" for="ch" forName="balance_10" refType="w" fact="0.5"/>
        <dgm:constr type="w" for="ch" forName="balance_11" refType="w" fact="0.9"/>
        <dgm:constr type="h" for="ch" forName="balance_11" refType="h" fact="0.076"/>
        <dgm:constr type="b" for="ch" forName="balance_11" refType="h" fact="0.81"/>
        <dgm:constr type="ctrX" for="ch" forName="balance_11" refType="w" fact="0.5"/>
        <dgm:constr type="w" for="ch" forName="balance_12" refType="w"/>
        <dgm:constr type="h" for="ch" forName="balance_12" refType="h" fact="0.157"/>
        <dgm:constr type="b" for="ch" forName="balance_12" refType="h" fact="0.85"/>
        <dgm:constr type="ctrX" for="ch" forName="balance_12" refType="w" fact="0.5"/>
        <dgm:constr type="w" for="ch" forName="balance_13" refType="w"/>
        <dgm:constr type="h" for="ch" forName="balance_13" refType="h" fact="0.157"/>
        <dgm:constr type="b" for="ch" forName="balance_13" refType="h" fact="0.85"/>
        <dgm:constr type="ctrX" for="ch" forName="balance_13" refType="w" fact="0.5"/>
        <dgm:constr type="w" for="ch" forName="balance_14" refType="w"/>
        <dgm:constr type="h" for="ch" forName="balance_14" refType="h" fact="0.157"/>
        <dgm:constr type="b" for="ch" forName="balance_14" refType="h" fact="0.85"/>
        <dgm:constr type="ctrX" for="ch" forName="balance_14" refType="w" fact="0.5"/>
        <dgm:constr type="w" for="ch" forName="balance_20" refType="w"/>
        <dgm:constr type="h" for="ch" forName="balance_20" refType="h" fact="0.157"/>
        <dgm:constr type="b" for="ch" forName="balance_20" refType="h" fact="0.85"/>
        <dgm:constr type="ctrX" for="ch" forName="balance_20" refType="w" fact="0.5"/>
        <dgm:constr type="w" for="ch" forName="balance_21" refType="w"/>
        <dgm:constr type="h" for="ch" forName="balance_21" refType="h" fact="0.157"/>
        <dgm:constr type="b" for="ch" forName="balance_21" refType="h" fact="0.85"/>
        <dgm:constr type="ctrX" for="ch" forName="balance_21" refType="w" fact="0.5"/>
        <dgm:constr type="w" for="ch" forName="balance_22" refType="w" fact="0.9"/>
        <dgm:constr type="h" for="ch" forName="balance_22" refType="h" fact="0.076"/>
        <dgm:constr type="b" for="ch" forName="balance_22" refType="h" fact="0.81"/>
        <dgm:constr type="ctrX" for="ch" forName="balance_22" refType="w" fact="0.5"/>
        <dgm:constr type="w" for="ch" forName="balance_23" refType="w"/>
        <dgm:constr type="h" for="ch" forName="balance_23" refType="h" fact="0.157"/>
        <dgm:constr type="b" for="ch" forName="balance_23" refType="h" fact="0.85"/>
        <dgm:constr type="ctrX" for="ch" forName="balance_23" refType="w" fact="0.5"/>
        <dgm:constr type="w" for="ch" forName="balance_24" refType="w"/>
        <dgm:constr type="h" for="ch" forName="balance_24" refType="h" fact="0.157"/>
        <dgm:constr type="b" for="ch" forName="balance_24" refType="h" fact="0.85"/>
        <dgm:constr type="ctrX" for="ch" forName="balance_24" refType="w" fact="0.5"/>
        <dgm:constr type="w" for="ch" forName="balance_30" refType="w"/>
        <dgm:constr type="h" for="ch" forName="balance_30" refType="h" fact="0.157"/>
        <dgm:constr type="b" for="ch" forName="balance_30" refType="h" fact="0.85"/>
        <dgm:constr type="ctrX" for="ch" forName="balance_30" refType="w" fact="0.5"/>
        <dgm:constr type="w" for="ch" forName="balance_31" refType="w"/>
        <dgm:constr type="h" for="ch" forName="balance_31" refType="h" fact="0.157"/>
        <dgm:constr type="b" for="ch" forName="balance_31" refType="h" fact="0.85"/>
        <dgm:constr type="ctrX" for="ch" forName="balance_31" refType="w" fact="0.5"/>
        <dgm:constr type="w" for="ch" forName="balance_32" refType="w"/>
        <dgm:constr type="h" for="ch" forName="balance_32" refType="h" fact="0.157"/>
        <dgm:constr type="b" for="ch" forName="balance_32" refType="h" fact="0.85"/>
        <dgm:constr type="ctrX" for="ch" forName="balance_32" refType="w" fact="0.5"/>
        <dgm:constr type="w" for="ch" forName="balance_33" refType="w" fact="0.9"/>
        <dgm:constr type="h" for="ch" forName="balance_33" refType="h" fact="0.076"/>
        <dgm:constr type="b" for="ch" forName="balance_33" refType="h" fact="0.81"/>
        <dgm:constr type="ctrX" for="ch" forName="balance_33" refType="w" fact="0.5"/>
        <dgm:constr type="w" for="ch" forName="balance_34" refType="w"/>
        <dgm:constr type="h" for="ch" forName="balance_34" refType="h" fact="0.157"/>
        <dgm:constr type="b" for="ch" forName="balance_34" refType="h" fact="0.85"/>
        <dgm:constr type="ctrX" for="ch" forName="balance_34" refType="w" fact="0.5"/>
        <dgm:constr type="w" for="ch" forName="balance_40" refType="w"/>
        <dgm:constr type="h" for="ch" forName="balance_40" refType="h" fact="0.157"/>
        <dgm:constr type="b" for="ch" forName="balance_40" refType="h" fact="0.85"/>
        <dgm:constr type="ctrX" for="ch" forName="balance_40" refType="w" fact="0.5"/>
        <dgm:constr type="w" for="ch" forName="balance_41" refType="w"/>
        <dgm:constr type="h" for="ch" forName="balance_41" refType="h" fact="0.157"/>
        <dgm:constr type="b" for="ch" forName="balance_41" refType="h" fact="0.85"/>
        <dgm:constr type="ctrX" for="ch" forName="balance_41" refType="w" fact="0.5"/>
        <dgm:constr type="w" for="ch" forName="balance_42" refType="w"/>
        <dgm:constr type="h" for="ch" forName="balance_42" refType="h" fact="0.157"/>
        <dgm:constr type="b" for="ch" forName="balance_42" refType="h" fact="0.85"/>
        <dgm:constr type="ctrX" for="ch" forName="balance_42" refType="w" fact="0.5"/>
        <dgm:constr type="w" for="ch" forName="balance_43" refType="w"/>
        <dgm:constr type="h" for="ch" forName="balance_43" refType="h" fact="0.157"/>
        <dgm:constr type="b" for="ch" forName="balance_43" refType="h" fact="0.85"/>
        <dgm:constr type="ctrX" for="ch" forName="balance_43" refType="w" fact="0.5"/>
        <dgm:constr type="w" for="ch" forName="balance_44" refType="w" fact="0.9"/>
        <dgm:constr type="h" for="ch" forName="balance_44" refType="h" fact="0.076"/>
        <dgm:constr type="b" for="ch" forName="balance_44" refType="h" fact="0.81"/>
        <dgm:constr type="ctrX" for="ch" forName="balance_44" refType="w" fact="0.5"/>
        <dgm:constr type="w" for="ch" forName="right_01_1" refType="w" fact="0.4"/>
        <dgm:constr type="h" for="ch" forName="right_01_1" refType="h" fact="0.7"/>
        <dgm:constr type="b" for="ch" forName="right_01_1" refType="h" fact="0.76"/>
        <dgm:constr type="ctrX" for="ch" forName="right_01_1" refType="w" fact="0.78"/>
        <dgm:constr type="w" for="ch" forName="left_10_1" refType="w" fact="0.4"/>
        <dgm:constr type="h" for="ch" forName="left_10_1" refType="h" fact="0.7"/>
        <dgm:constr type="b" for="ch" forName="left_10_1" refType="h" fact="0.76"/>
        <dgm:constr type="ctrX" for="ch" forName="left_10_1" refType="w" fact="0.22"/>
        <dgm:constr type="w" for="ch" forName="right_11_1" refType="w" fact="0.36"/>
        <dgm:constr type="h" for="ch" forName="right_11_1" refType="h" fact="0.67"/>
        <dgm:constr type="b" for="ch" forName="right_11_1" refType="h" fact="0.725"/>
        <dgm:constr type="ctrX" for="ch" forName="right_11_1" refType="w" fact="0.76"/>
        <dgm:constr type="w" for="ch" forName="left_11_1" refType="w" fact="0.36"/>
        <dgm:constr type="h" for="ch" forName="left_11_1" refType="h" fact="0.67"/>
        <dgm:constr type="b" for="ch" forName="left_11_1" refType="h" fact="0.725"/>
        <dgm:constr type="ctrX" for="ch" forName="left_11_1" refType="w" fact="0.24"/>
        <dgm:constr type="w" for="ch" forName="right_02_1" refType="w" fact="0.388"/>
        <dgm:constr type="h" for="ch" forName="right_02_1" refType="h" fact="0.36"/>
        <dgm:constr type="b" for="ch" forName="right_02_1" refType="h" fact="0.76"/>
        <dgm:constr type="ctrX" for="ch" forName="right_02_1" refType="w" fact="0.77"/>
        <dgm:constr type="w" for="ch" forName="right_02_2" refType="w" fact="0.388"/>
        <dgm:constr type="h" for="ch" forName="right_02_2" refType="h" fact="0.36"/>
        <dgm:constr type="b" for="ch" forName="right_02_2" refType="h" fact="0.42"/>
        <dgm:constr type="ctrX" for="ch" forName="right_02_2" refType="w" fact="0.79"/>
        <dgm:constr type="w" for="ch" forName="left_20_1" refType="w" fact="0.388"/>
        <dgm:constr type="h" for="ch" forName="left_20_1" refType="h" fact="0.36"/>
        <dgm:constr type="b" for="ch" forName="left_20_1" refType="h" fact="0.76"/>
        <dgm:constr type="ctrX" for="ch" forName="left_20_1" refType="w" fact="0.23"/>
        <dgm:constr type="w" for="ch" forName="left_20_2" refType="w" fact="0.388"/>
        <dgm:constr type="h" for="ch" forName="left_20_2" refType="h" fact="0.36"/>
        <dgm:constr type="b" for="ch" forName="left_20_2" refType="h" fact="0.42"/>
        <dgm:constr type="ctrX" for="ch" forName="left_20_2" refType="w" fact="0.21"/>
        <dgm:constr type="w" for="ch" forName="right_12_1" refType="w" fact="0.388"/>
        <dgm:constr type="h" for="ch" forName="right_12_1" refType="h" fact="0.36"/>
        <dgm:constr type="b" for="ch" forName="right_12_1" refType="h" fact="0.76"/>
        <dgm:constr type="ctrX" for="ch" forName="right_12_1" refType="w" fact="0.77"/>
        <dgm:constr type="w" for="ch" forName="right_12_2" refType="w" fact="0.388"/>
        <dgm:constr type="h" for="ch" forName="right_12_2" refType="h" fact="0.36"/>
        <dgm:constr type="b" for="ch" forName="right_12_2" refType="h" fact="0.42"/>
        <dgm:constr type="ctrX" for="ch" forName="right_12_2" refType="w" fact="0.79"/>
        <dgm:constr type="w" for="ch" forName="left_12_1" refType="w" fact="0.388"/>
        <dgm:constr type="h" for="ch" forName="left_12_1" refType="h" fact="0.36"/>
        <dgm:constr type="b" for="ch" forName="left_12_1" refType="h" fact="0.715"/>
        <dgm:constr type="ctrX" for="ch" forName="left_12_1" refType="w" fact="0.255"/>
        <dgm:constr type="w" for="ch" forName="right_22_1" refType="w" fact="0.36"/>
        <dgm:constr type="h" for="ch" forName="right_22_1" refType="h" fact="0.32"/>
        <dgm:constr type="b" for="ch" forName="right_22_1" refType="h" fact="0.725"/>
        <dgm:constr type="ctrX" for="ch" forName="right_22_1" refType="w" fact="0.76"/>
        <dgm:constr type="w" for="ch" forName="right_22_2" refType="w" fact="0.36"/>
        <dgm:constr type="h" for="ch" forName="right_22_2" refType="h" fact="0.32"/>
        <dgm:constr type="b" for="ch" forName="right_22_2" refType="h" fact="0.39"/>
        <dgm:constr type="ctrX" for="ch" forName="right_22_2" refType="w" fact="0.76"/>
        <dgm:constr type="w" for="ch" forName="left_22_1" refType="w" fact="0.36"/>
        <dgm:constr type="h" for="ch" forName="left_22_1" refType="h" fact="0.32"/>
        <dgm:constr type="b" for="ch" forName="left_22_1" refType="h" fact="0.725"/>
        <dgm:constr type="ctrX" for="ch" forName="left_22_1" refType="w" fact="0.24"/>
        <dgm:constr type="w" for="ch" forName="left_22_2" refType="w" fact="0.36"/>
        <dgm:constr type="h" for="ch" forName="left_22_2" refType="h" fact="0.32"/>
        <dgm:constr type="b" for="ch" forName="left_22_2" refType="h" fact="0.39"/>
        <dgm:constr type="ctrX" for="ch" forName="left_22_2" refType="w" fact="0.24"/>
        <dgm:constr type="w" for="ch" forName="left_21_1" refType="w" fact="0.388"/>
        <dgm:constr type="h" for="ch" forName="left_21_1" refType="h" fact="0.36"/>
        <dgm:constr type="b" for="ch" forName="left_21_1" refType="h" fact="0.76"/>
        <dgm:constr type="ctrX" for="ch" forName="left_21_1" refType="w" fact="0.23"/>
        <dgm:constr type="w" for="ch" forName="left_21_2" refType="w" fact="0.388"/>
        <dgm:constr type="h" for="ch" forName="left_21_2" refType="h" fact="0.36"/>
        <dgm:constr type="b" for="ch" forName="left_21_2" refType="h" fact="0.42"/>
        <dgm:constr type="ctrX" for="ch" forName="left_21_2" refType="w" fact="0.21"/>
        <dgm:constr type="w" for="ch" forName="right_21_1" refType="w" fact="0.388"/>
        <dgm:constr type="h" for="ch" forName="right_21_1" refType="h" fact="0.36"/>
        <dgm:constr type="b" for="ch" forName="right_21_1" refType="h" fact="0.715"/>
        <dgm:constr type="ctrX" for="ch" forName="right_21_1" refType="w" fact="0.745"/>
        <dgm:constr type="w" for="ch" forName="right_03_1" refType="w" fact="0.37"/>
        <dgm:constr type="h" for="ch" forName="right_03_1" refType="h" fact="0.24"/>
        <dgm:constr type="b" for="ch" forName="right_03_1" refType="h" fact="0.76"/>
        <dgm:constr type="ctrX" for="ch" forName="right_03_1" refType="w" fact="0.77"/>
        <dgm:constr type="w" for="ch" forName="right_03_2" refType="w" fact="0.37"/>
        <dgm:constr type="h" for="ch" forName="right_03_2" refType="h" fact="0.24"/>
        <dgm:constr type="b" for="ch" forName="right_03_2" refType="h" fact="0.535"/>
        <dgm:constr type="ctrX" for="ch" forName="right_03_2" refType="w" fact="0.783"/>
        <dgm:constr type="w" for="ch" forName="right_03_3" refType="w" fact="0.37"/>
        <dgm:constr type="h" for="ch" forName="right_03_3" refType="h" fact="0.24"/>
        <dgm:constr type="b" for="ch" forName="right_03_3" refType="h" fact="0.315"/>
        <dgm:constr type="ctrX" for="ch" forName="right_03_3" refType="w" fact="0.796"/>
        <dgm:constr type="w" for="ch" forName="left_30_1" refType="w" fact="0.37"/>
        <dgm:constr type="h" for="ch" forName="left_30_1" refType="h" fact="0.24"/>
        <dgm:constr type="b" for="ch" forName="left_30_1" refType="h" fact="0.76"/>
        <dgm:constr type="ctrX" for="ch" forName="left_30_1" refType="w" fact="0.23"/>
        <dgm:constr type="w" for="ch" forName="left_30_2" refType="w" fact="0.37"/>
        <dgm:constr type="h" for="ch" forName="left_30_2" refType="h" fact="0.24"/>
        <dgm:constr type="b" for="ch" forName="left_30_2" refType="h" fact="0.535"/>
        <dgm:constr type="ctrX" for="ch" forName="left_30_2" refType="w" fact="0.217"/>
        <dgm:constr type="w" for="ch" forName="left_30_3" refType="w" fact="0.37"/>
        <dgm:constr type="h" for="ch" forName="left_30_3" refType="h" fact="0.24"/>
        <dgm:constr type="b" for="ch" forName="left_30_3" refType="h" fact="0.315"/>
        <dgm:constr type="ctrX" for="ch" forName="left_30_3" refType="w" fact="0.204"/>
        <dgm:constr type="w" for="ch" forName="right_13_1" refType="w" fact="0.37"/>
        <dgm:constr type="h" for="ch" forName="right_13_1" refType="h" fact="0.24"/>
        <dgm:constr type="b" for="ch" forName="right_13_1" refType="h" fact="0.76"/>
        <dgm:constr type="ctrX" for="ch" forName="right_13_1" refType="w" fact="0.77"/>
        <dgm:constr type="w" for="ch" forName="right_13_2" refType="w" fact="0.37"/>
        <dgm:constr type="h" for="ch" forName="right_13_2" refType="h" fact="0.24"/>
        <dgm:constr type="b" for="ch" forName="right_13_2" refType="h" fact="0.535"/>
        <dgm:constr type="ctrX" for="ch" forName="right_13_2" refType="w" fact="0.783"/>
        <dgm:constr type="w" for="ch" forName="right_13_3" refType="w" fact="0.37"/>
        <dgm:constr type="h" for="ch" forName="right_13_3" refType="h" fact="0.24"/>
        <dgm:constr type="b" for="ch" forName="right_13_3" refType="h" fact="0.315"/>
        <dgm:constr type="ctrX" for="ch" forName="right_13_3" refType="w" fact="0.796"/>
        <dgm:constr type="w" for="ch" forName="left_13_1" refType="w" fact="0.37"/>
        <dgm:constr type="h" for="ch" forName="left_13_1" refType="h" fact="0.24"/>
        <dgm:constr type="b" for="ch" forName="left_13_1" refType="h" fact="0.715"/>
        <dgm:constr type="ctrX" for="ch" forName="left_13_1" refType="w" fact="0.255"/>
        <dgm:constr type="w" for="ch" forName="left_31_1" refType="w" fact="0.37"/>
        <dgm:constr type="h" for="ch" forName="left_31_1" refType="h" fact="0.24"/>
        <dgm:constr type="b" for="ch" forName="left_31_1" refType="h" fact="0.76"/>
        <dgm:constr type="ctrX" for="ch" forName="left_31_1" refType="w" fact="0.23"/>
        <dgm:constr type="w" for="ch" forName="left_31_2" refType="w" fact="0.37"/>
        <dgm:constr type="h" for="ch" forName="left_31_2" refType="h" fact="0.24"/>
        <dgm:constr type="b" for="ch" forName="left_31_2" refType="h" fact="0.535"/>
        <dgm:constr type="ctrX" for="ch" forName="left_31_2" refType="w" fact="0.217"/>
        <dgm:constr type="w" for="ch" forName="left_31_3" refType="w" fact="0.37"/>
        <dgm:constr type="h" for="ch" forName="left_31_3" refType="h" fact="0.24"/>
        <dgm:constr type="b" for="ch" forName="left_31_3" refType="h" fact="0.315"/>
        <dgm:constr type="ctrX" for="ch" forName="left_31_3" refType="w" fact="0.204"/>
        <dgm:constr type="w" for="ch" forName="right_31_1" refType="w" fact="0.37"/>
        <dgm:constr type="h" for="ch" forName="right_31_1" refType="h" fact="0.24"/>
        <dgm:constr type="b" for="ch" forName="right_31_1" refType="h" fact="0.715"/>
        <dgm:constr type="ctrX" for="ch" forName="right_31_1" refType="w" fact="0.745"/>
        <dgm:constr type="w" for="ch" forName="right_23_1" refType="w" fact="0.37"/>
        <dgm:constr type="h" for="ch" forName="right_23_1" refType="h" fact="0.24"/>
        <dgm:constr type="b" for="ch" forName="right_23_1" refType="h" fact="0.76"/>
        <dgm:constr type="ctrX" for="ch" forName="right_23_1" refType="w" fact="0.77"/>
        <dgm:constr type="w" for="ch" forName="right_23_2" refType="w" fact="0.37"/>
        <dgm:constr type="h" for="ch" forName="right_23_2" refType="h" fact="0.24"/>
        <dgm:constr type="b" for="ch" forName="right_23_2" refType="h" fact="0.535"/>
        <dgm:constr type="ctrX" for="ch" forName="right_23_2" refType="w" fact="0.783"/>
        <dgm:constr type="w" for="ch" forName="right_23_3" refType="w" fact="0.37"/>
        <dgm:constr type="h" for="ch" forName="right_23_3" refType="h" fact="0.24"/>
        <dgm:constr type="b" for="ch" forName="right_23_3" refType="h" fact="0.315"/>
        <dgm:constr type="ctrX" for="ch" forName="right_23_3" refType="w" fact="0.796"/>
        <dgm:constr type="w" for="ch" forName="left_23_1" refType="w" fact="0.37"/>
        <dgm:constr type="h" for="ch" forName="left_23_1" refType="h" fact="0.24"/>
        <dgm:constr type="b" for="ch" forName="left_23_1" refType="h" fact="0.715"/>
        <dgm:constr type="ctrX" for="ch" forName="left_23_1" refType="w" fact="0.255"/>
        <dgm:constr type="w" for="ch" forName="left_23_2" refType="w" fact="0.37"/>
        <dgm:constr type="h" for="ch" forName="left_23_2" refType="h" fact="0.24"/>
        <dgm:constr type="b" for="ch" forName="left_23_2" refType="h" fact="0.49"/>
        <dgm:constr type="ctrX" for="ch" forName="left_23_2" refType="w" fact="0.268"/>
        <dgm:constr type="w" for="ch" forName="left_32_1" refType="w" fact="0.37"/>
        <dgm:constr type="h" for="ch" forName="left_32_1" refType="h" fact="0.24"/>
        <dgm:constr type="b" for="ch" forName="left_32_1" refType="h" fact="0.76"/>
        <dgm:constr type="ctrX" for="ch" forName="left_32_1" refType="w" fact="0.23"/>
        <dgm:constr type="w" for="ch" forName="left_32_2" refType="w" fact="0.37"/>
        <dgm:constr type="h" for="ch" forName="left_32_2" refType="h" fact="0.24"/>
        <dgm:constr type="b" for="ch" forName="left_32_2" refType="h" fact="0.535"/>
        <dgm:constr type="ctrX" for="ch" forName="left_32_2" refType="w" fact="0.217"/>
        <dgm:constr type="w" for="ch" forName="left_32_3" refType="w" fact="0.37"/>
        <dgm:constr type="h" for="ch" forName="left_32_3" refType="h" fact="0.24"/>
        <dgm:constr type="b" for="ch" forName="left_32_3" refType="h" fact="0.315"/>
        <dgm:constr type="ctrX" for="ch" forName="left_32_3" refType="w" fact="0.204"/>
        <dgm:constr type="w" for="ch" forName="right_32_1" refType="w" fact="0.37"/>
        <dgm:constr type="h" for="ch" forName="right_32_1" refType="h" fact="0.24"/>
        <dgm:constr type="b" for="ch" forName="right_32_1" refType="h" fact="0.715"/>
        <dgm:constr type="ctrX" for="ch" forName="right_32_1" refType="w" fact="0.745"/>
        <dgm:constr type="w" for="ch" forName="right_32_2" refType="w" fact="0.37"/>
        <dgm:constr type="h" for="ch" forName="right_32_2" refType="h" fact="0.24"/>
        <dgm:constr type="b" for="ch" forName="right_32_2" refType="h" fact="0.49"/>
        <dgm:constr type="ctrX" for="ch" forName="right_32_2" refType="w" fact="0.732"/>
        <dgm:constr type="w" for="ch" forName="right_33_1" refType="w" fact="0.36"/>
        <dgm:constr type="h" for="ch" forName="right_33_1" refType="h" fact="0.21"/>
        <dgm:constr type="b" for="ch" forName="right_33_1" refType="h" fact="0.725"/>
        <dgm:constr type="ctrX" for="ch" forName="right_33_1" refType="w" fact="0.76"/>
        <dgm:constr type="w" for="ch" forName="right_33_2" refType="w" fact="0.36"/>
        <dgm:constr type="h" for="ch" forName="right_33_2" refType="h" fact="0.21"/>
        <dgm:constr type="b" for="ch" forName="right_33_2" refType="h" fact="0.5"/>
        <dgm:constr type="ctrX" for="ch" forName="right_33_2" refType="w" fact="0.76"/>
        <dgm:constr type="w" for="ch" forName="right_33_3" refType="w" fact="0.36"/>
        <dgm:constr type="h" for="ch" forName="right_33_3" refType="h" fact="0.21"/>
        <dgm:constr type="b" for="ch" forName="right_33_3" refType="h" fact="0.275"/>
        <dgm:constr type="ctrX" for="ch" forName="right_33_3" refType="w" fact="0.76"/>
        <dgm:constr type="w" for="ch" forName="left_33_1" refType="w" fact="0.36"/>
        <dgm:constr type="h" for="ch" forName="left_33_1" refType="h" fact="0.21"/>
        <dgm:constr type="b" for="ch" forName="left_33_1" refType="h" fact="0.725"/>
        <dgm:constr type="ctrX" for="ch" forName="left_33_1" refType="w" fact="0.24"/>
        <dgm:constr type="w" for="ch" forName="left_33_2" refType="w" fact="0.36"/>
        <dgm:constr type="h" for="ch" forName="left_33_2" refType="h" fact="0.21"/>
        <dgm:constr type="b" for="ch" forName="left_33_2" refType="h" fact="0.5"/>
        <dgm:constr type="ctrX" for="ch" forName="left_33_2" refType="w" fact="0.24"/>
        <dgm:constr type="w" for="ch" forName="left_33_3" refType="w" fact="0.36"/>
        <dgm:constr type="h" for="ch" forName="left_33_3" refType="h" fact="0.21"/>
        <dgm:constr type="b" for="ch" forName="left_33_3" refType="h" fact="0.275"/>
        <dgm:constr type="ctrX" for="ch" forName="left_33_3" refType="w" fact="0.24"/>
        <dgm:constr type="w" for="ch" forName="right_04_1" refType="w" fact="0.365"/>
        <dgm:constr type="h" for="ch" forName="right_04_1" refType="h" fact="0.185"/>
        <dgm:constr type="b" for="ch" forName="right_04_1" refType="h" fact="0.76"/>
        <dgm:constr type="ctrX" for="ch" forName="right_04_1" refType="w" fact="0.77"/>
        <dgm:constr type="w" for="ch" forName="right_04_2" refType="w" fact="0.365"/>
        <dgm:constr type="h" for="ch" forName="right_04_2" refType="h" fact="0.185"/>
        <dgm:constr type="b" for="ch" forName="right_04_2" refType="h" fact="0.595"/>
        <dgm:constr type="ctrX" for="ch" forName="right_04_2" refType="w" fact="0.78"/>
        <dgm:constr type="w" for="ch" forName="right_04_3" refType="w" fact="0.365"/>
        <dgm:constr type="h" for="ch" forName="right_04_3" refType="h" fact="0.185"/>
        <dgm:constr type="b" for="ch" forName="right_04_3" refType="h" fact="0.43"/>
        <dgm:constr type="ctrX" for="ch" forName="right_04_3" refType="w" fact="0.79"/>
        <dgm:constr type="w" for="ch" forName="right_04_4" refType="w" fact="0.365"/>
        <dgm:constr type="h" for="ch" forName="right_04_4" refType="h" fact="0.185"/>
        <dgm:constr type="b" for="ch" forName="right_04_4" refType="h" fact="0.265"/>
        <dgm:constr type="ctrX" for="ch" forName="right_04_4" refType="w" fact="0.8"/>
        <dgm:constr type="w" for="ch" forName="left_40_1" refType="w" fact="0.365"/>
        <dgm:constr type="h" for="ch" forName="left_40_1" refType="h" fact="0.185"/>
        <dgm:constr type="b" for="ch" forName="left_40_1" refType="h" fact="0.76"/>
        <dgm:constr type="ctrX" for="ch" forName="left_40_1" refType="w" fact="0.23"/>
        <dgm:constr type="w" for="ch" forName="left_40_2" refType="w" fact="0.365"/>
        <dgm:constr type="h" for="ch" forName="left_40_2" refType="h" fact="0.185"/>
        <dgm:constr type="b" for="ch" forName="left_40_2" refType="h" fact="0.595"/>
        <dgm:constr type="ctrX" for="ch" forName="left_40_2" refType="w" fact="0.22"/>
        <dgm:constr type="w" for="ch" forName="left_40_3" refType="w" fact="0.365"/>
        <dgm:constr type="h" for="ch" forName="left_40_3" refType="h" fact="0.185"/>
        <dgm:constr type="b" for="ch" forName="left_40_3" refType="h" fact="0.43"/>
        <dgm:constr type="ctrX" for="ch" forName="left_40_3" refType="w" fact="0.21"/>
        <dgm:constr type="w" for="ch" forName="left_40_4" refType="w" fact="0.365"/>
        <dgm:constr type="h" for="ch" forName="left_40_4" refType="h" fact="0.185"/>
        <dgm:constr type="b" for="ch" forName="left_40_4" refType="h" fact="0.265"/>
        <dgm:constr type="ctrX" for="ch" forName="left_40_4" refType="w" fact="0.2"/>
        <dgm:constr type="w" for="ch" forName="right_14_1" refType="w" fact="0.365"/>
        <dgm:constr type="h" for="ch" forName="right_14_1" refType="h" fact="0.185"/>
        <dgm:constr type="b" for="ch" forName="right_14_1" refType="h" fact="0.76"/>
        <dgm:constr type="ctrX" for="ch" forName="right_14_1" refType="w" fact="0.77"/>
        <dgm:constr type="w" for="ch" forName="right_14_2" refType="w" fact="0.365"/>
        <dgm:constr type="h" for="ch" forName="right_14_2" refType="h" fact="0.185"/>
        <dgm:constr type="b" for="ch" forName="right_14_2" refType="h" fact="0.595"/>
        <dgm:constr type="ctrX" for="ch" forName="right_14_2" refType="w" fact="0.78"/>
        <dgm:constr type="w" for="ch" forName="right_14_3" refType="w" fact="0.365"/>
        <dgm:constr type="h" for="ch" forName="right_14_3" refType="h" fact="0.185"/>
        <dgm:constr type="b" for="ch" forName="right_14_3" refType="h" fact="0.43"/>
        <dgm:constr type="ctrX" for="ch" forName="right_14_3" refType="w" fact="0.79"/>
        <dgm:constr type="w" for="ch" forName="right_14_4" refType="w" fact="0.365"/>
        <dgm:constr type="h" for="ch" forName="right_14_4" refType="h" fact="0.185"/>
        <dgm:constr type="b" for="ch" forName="right_14_4" refType="h" fact="0.265"/>
        <dgm:constr type="ctrX" for="ch" forName="right_14_4" refType="w" fact="0.8"/>
        <dgm:constr type="w" for="ch" forName="left_14_1" refType="w" fact="0.365"/>
        <dgm:constr type="h" for="ch" forName="left_14_1" refType="h" fact="0.185"/>
        <dgm:constr type="b" for="ch" forName="left_14_1" refType="h" fact="0.715"/>
        <dgm:constr type="ctrX" for="ch" forName="left_14_1" refType="w" fact="0.25"/>
        <dgm:constr type="w" for="ch" forName="left_41_1" refType="w" fact="0.365"/>
        <dgm:constr type="h" for="ch" forName="left_41_1" refType="h" fact="0.185"/>
        <dgm:constr type="b" for="ch" forName="left_41_1" refType="h" fact="0.76"/>
        <dgm:constr type="ctrX" for="ch" forName="left_41_1" refType="w" fact="0.23"/>
        <dgm:constr type="w" for="ch" forName="left_41_2" refType="w" fact="0.365"/>
        <dgm:constr type="h" for="ch" forName="left_41_2" refType="h" fact="0.185"/>
        <dgm:constr type="b" for="ch" forName="left_41_2" refType="h" fact="0.595"/>
        <dgm:constr type="ctrX" for="ch" forName="left_41_2" refType="w" fact="0.22"/>
        <dgm:constr type="w" for="ch" forName="left_41_3" refType="w" fact="0.365"/>
        <dgm:constr type="h" for="ch" forName="left_41_3" refType="h" fact="0.185"/>
        <dgm:constr type="b" for="ch" forName="left_41_3" refType="h" fact="0.43"/>
        <dgm:constr type="ctrX" for="ch" forName="left_41_3" refType="w" fact="0.21"/>
        <dgm:constr type="w" for="ch" forName="left_41_4" refType="w" fact="0.365"/>
        <dgm:constr type="h" for="ch" forName="left_41_4" refType="h" fact="0.185"/>
        <dgm:constr type="b" for="ch" forName="left_41_4" refType="h" fact="0.265"/>
        <dgm:constr type="ctrX" for="ch" forName="left_41_4" refType="w" fact="0.2"/>
        <dgm:constr type="w" for="ch" forName="right_41_1" refType="w" fact="0.365"/>
        <dgm:constr type="h" for="ch" forName="right_41_1" refType="h" fact="0.185"/>
        <dgm:constr type="b" for="ch" forName="right_41_1" refType="h" fact="0.715"/>
        <dgm:constr type="ctrX" for="ch" forName="right_41_1" refType="w" fact="0.75"/>
        <dgm:constr type="w" for="ch" forName="right_24_1" refType="w" fact="0.365"/>
        <dgm:constr type="h" for="ch" forName="right_24_1" refType="h" fact="0.185"/>
        <dgm:constr type="b" for="ch" forName="right_24_1" refType="h" fact="0.76"/>
        <dgm:constr type="ctrX" for="ch" forName="right_24_1" refType="w" fact="0.77"/>
        <dgm:constr type="w" for="ch" forName="right_24_2" refType="w" fact="0.365"/>
        <dgm:constr type="h" for="ch" forName="right_24_2" refType="h" fact="0.185"/>
        <dgm:constr type="b" for="ch" forName="right_24_2" refType="h" fact="0.595"/>
        <dgm:constr type="ctrX" for="ch" forName="right_24_2" refType="w" fact="0.78"/>
        <dgm:constr type="w" for="ch" forName="right_24_3" refType="w" fact="0.365"/>
        <dgm:constr type="h" for="ch" forName="right_24_3" refType="h" fact="0.185"/>
        <dgm:constr type="b" for="ch" forName="right_24_3" refType="h" fact="0.43"/>
        <dgm:constr type="ctrX" for="ch" forName="right_24_3" refType="w" fact="0.79"/>
        <dgm:constr type="w" for="ch" forName="right_24_4" refType="w" fact="0.365"/>
        <dgm:constr type="h" for="ch" forName="right_24_4" refType="h" fact="0.185"/>
        <dgm:constr type="b" for="ch" forName="right_24_4" refType="h" fact="0.265"/>
        <dgm:constr type="ctrX" for="ch" forName="right_24_4" refType="w" fact="0.8"/>
        <dgm:constr type="w" for="ch" forName="left_24_1" refType="w" fact="0.365"/>
        <dgm:constr type="h" for="ch" forName="left_24_1" refType="h" fact="0.185"/>
        <dgm:constr type="b" for="ch" forName="left_24_1" refType="h" fact="0.715"/>
        <dgm:constr type="ctrX" for="ch" forName="left_24_1" refType="w" fact="0.25"/>
        <dgm:constr type="w" for="ch" forName="left_24_2" refType="w" fact="0.365"/>
        <dgm:constr type="h" for="ch" forName="left_24_2" refType="h" fact="0.185"/>
        <dgm:constr type="b" for="ch" forName="left_24_2" refType="h" fact="0.55"/>
        <dgm:constr type="ctrX" for="ch" forName="left_24_2" refType="w" fact="0.26"/>
        <dgm:constr type="w" for="ch" forName="left_42_1" refType="w" fact="0.365"/>
        <dgm:constr type="h" for="ch" forName="left_42_1" refType="h" fact="0.185"/>
        <dgm:constr type="b" for="ch" forName="left_42_1" refType="h" fact="0.76"/>
        <dgm:constr type="ctrX" for="ch" forName="left_42_1" refType="w" fact="0.23"/>
        <dgm:constr type="w" for="ch" forName="left_42_2" refType="w" fact="0.365"/>
        <dgm:constr type="h" for="ch" forName="left_42_2" refType="h" fact="0.185"/>
        <dgm:constr type="b" for="ch" forName="left_42_2" refType="h" fact="0.595"/>
        <dgm:constr type="ctrX" for="ch" forName="left_42_2" refType="w" fact="0.22"/>
        <dgm:constr type="w" for="ch" forName="left_42_3" refType="w" fact="0.365"/>
        <dgm:constr type="h" for="ch" forName="left_42_3" refType="h" fact="0.185"/>
        <dgm:constr type="b" for="ch" forName="left_42_3" refType="h" fact="0.43"/>
        <dgm:constr type="ctrX" for="ch" forName="left_42_3" refType="w" fact="0.21"/>
        <dgm:constr type="w" for="ch" forName="left_42_4" refType="w" fact="0.365"/>
        <dgm:constr type="h" for="ch" forName="left_42_4" refType="h" fact="0.185"/>
        <dgm:constr type="b" for="ch" forName="left_42_4" refType="h" fact="0.265"/>
        <dgm:constr type="ctrX" for="ch" forName="left_42_4" refType="w" fact="0.2"/>
        <dgm:constr type="w" for="ch" forName="right_42_1" refType="w" fact="0.365"/>
        <dgm:constr type="h" for="ch" forName="right_42_1" refType="h" fact="0.185"/>
        <dgm:constr type="b" for="ch" forName="right_42_1" refType="h" fact="0.715"/>
        <dgm:constr type="ctrX" for="ch" forName="right_42_1" refType="w" fact="0.75"/>
        <dgm:constr type="w" for="ch" forName="right_42_2" refType="w" fact="0.365"/>
        <dgm:constr type="h" for="ch" forName="right_42_2" refType="h" fact="0.185"/>
        <dgm:constr type="b" for="ch" forName="right_42_2" refType="h" fact="0.55"/>
        <dgm:constr type="ctrX" for="ch" forName="right_42_2" refType="w" fact="0.74"/>
        <dgm:constr type="w" for="ch" forName="right_34_1" refType="w" fact="0.365"/>
        <dgm:constr type="h" for="ch" forName="right_34_1" refType="h" fact="0.185"/>
        <dgm:constr type="b" for="ch" forName="right_34_1" refType="h" fact="0.76"/>
        <dgm:constr type="ctrX" for="ch" forName="right_34_1" refType="w" fact="0.77"/>
        <dgm:constr type="w" for="ch" forName="right_34_2" refType="w" fact="0.365"/>
        <dgm:constr type="h" for="ch" forName="right_34_2" refType="h" fact="0.185"/>
        <dgm:constr type="b" for="ch" forName="right_34_2" refType="h" fact="0.595"/>
        <dgm:constr type="ctrX" for="ch" forName="right_34_2" refType="w" fact="0.78"/>
        <dgm:constr type="w" for="ch" forName="right_34_3" refType="w" fact="0.365"/>
        <dgm:constr type="h" for="ch" forName="right_34_3" refType="h" fact="0.185"/>
        <dgm:constr type="b" for="ch" forName="right_34_3" refType="h" fact="0.43"/>
        <dgm:constr type="ctrX" for="ch" forName="right_34_3" refType="w" fact="0.79"/>
        <dgm:constr type="w" for="ch" forName="right_34_4" refType="w" fact="0.365"/>
        <dgm:constr type="h" for="ch" forName="right_34_4" refType="h" fact="0.185"/>
        <dgm:constr type="b" for="ch" forName="right_34_4" refType="h" fact="0.265"/>
        <dgm:constr type="ctrX" for="ch" forName="right_34_4" refType="w" fact="0.8"/>
        <dgm:constr type="w" for="ch" forName="left_34_1" refType="w" fact="0.365"/>
        <dgm:constr type="h" for="ch" forName="left_34_1" refType="h" fact="0.185"/>
        <dgm:constr type="b" for="ch" forName="left_34_1" refType="h" fact="0.715"/>
        <dgm:constr type="ctrX" for="ch" forName="left_34_1" refType="w" fact="0.25"/>
        <dgm:constr type="w" for="ch" forName="left_34_2" refType="w" fact="0.365"/>
        <dgm:constr type="h" for="ch" forName="left_34_2" refType="h" fact="0.185"/>
        <dgm:constr type="b" for="ch" forName="left_34_2" refType="h" fact="0.55"/>
        <dgm:constr type="ctrX" for="ch" forName="left_34_2" refType="w" fact="0.26"/>
        <dgm:constr type="w" for="ch" forName="left_34_3" refType="w" fact="0.365"/>
        <dgm:constr type="h" for="ch" forName="left_34_3" refType="h" fact="0.185"/>
        <dgm:constr type="b" for="ch" forName="left_34_3" refType="h" fact="0.385"/>
        <dgm:constr type="ctrX" for="ch" forName="left_34_3" refType="w" fact="0.27"/>
        <dgm:constr type="w" for="ch" forName="left_43_1" refType="w" fact="0.365"/>
        <dgm:constr type="h" for="ch" forName="left_43_1" refType="h" fact="0.185"/>
        <dgm:constr type="b" for="ch" forName="left_43_1" refType="h" fact="0.76"/>
        <dgm:constr type="ctrX" for="ch" forName="left_43_1" refType="w" fact="0.23"/>
        <dgm:constr type="w" for="ch" forName="left_43_2" refType="w" fact="0.365"/>
        <dgm:constr type="h" for="ch" forName="left_43_2" refType="h" fact="0.185"/>
        <dgm:constr type="b" for="ch" forName="left_43_2" refType="h" fact="0.595"/>
        <dgm:constr type="ctrX" for="ch" forName="left_43_2" refType="w" fact="0.22"/>
        <dgm:constr type="w" for="ch" forName="left_43_3" refType="w" fact="0.365"/>
        <dgm:constr type="h" for="ch" forName="left_43_3" refType="h" fact="0.185"/>
        <dgm:constr type="b" for="ch" forName="left_43_3" refType="h" fact="0.43"/>
        <dgm:constr type="ctrX" for="ch" forName="left_43_3" refType="w" fact="0.21"/>
        <dgm:constr type="w" for="ch" forName="left_43_4" refType="w" fact="0.365"/>
        <dgm:constr type="h" for="ch" forName="left_43_4" refType="h" fact="0.185"/>
        <dgm:constr type="b" for="ch" forName="left_43_4" refType="h" fact="0.265"/>
        <dgm:constr type="ctrX" for="ch" forName="left_43_4" refType="w" fact="0.2"/>
        <dgm:constr type="w" for="ch" forName="right_43_1" refType="w" fact="0.365"/>
        <dgm:constr type="h" for="ch" forName="right_43_1" refType="h" fact="0.185"/>
        <dgm:constr type="b" for="ch" forName="right_43_1" refType="h" fact="0.715"/>
        <dgm:constr type="ctrX" for="ch" forName="right_43_1" refType="w" fact="0.75"/>
        <dgm:constr type="w" for="ch" forName="right_43_2" refType="w" fact="0.365"/>
        <dgm:constr type="h" for="ch" forName="right_43_2" refType="h" fact="0.185"/>
        <dgm:constr type="b" for="ch" forName="right_43_2" refType="h" fact="0.55"/>
        <dgm:constr type="ctrX" for="ch" forName="right_43_2" refType="w" fact="0.74"/>
        <dgm:constr type="w" for="ch" forName="right_43_3" refType="w" fact="0.365"/>
        <dgm:constr type="h" for="ch" forName="right_43_3" refType="h" fact="0.185"/>
        <dgm:constr type="b" for="ch" forName="right_43_3" refType="h" fact="0.385"/>
        <dgm:constr type="ctrX" for="ch" forName="right_43_3" refType="w" fact="0.73"/>
        <dgm:constr type="w" for="ch" forName="right_44_1" refType="w" fact="0.36"/>
        <dgm:constr type="h" for="ch" forName="right_44_1" refType="h" fact="0.154"/>
        <dgm:constr type="b" for="ch" forName="right_44_1" refType="h" fact="0.725"/>
        <dgm:constr type="ctrX" for="ch" forName="right_44_1" refType="w" fact="0.76"/>
        <dgm:constr type="w" for="ch" forName="right_44_2" refType="w" fact="0.36"/>
        <dgm:constr type="h" for="ch" forName="right_44_2" refType="h" fact="0.154"/>
        <dgm:constr type="b" for="ch" forName="right_44_2" refType="h" fact="0.559"/>
        <dgm:constr type="ctrX" for="ch" forName="right_44_2" refType="w" fact="0.76"/>
        <dgm:constr type="w" for="ch" forName="right_44_3" refType="w" fact="0.36"/>
        <dgm:constr type="h" for="ch" forName="right_44_3" refType="h" fact="0.154"/>
        <dgm:constr type="b" for="ch" forName="right_44_3" refType="h" fact="0.393"/>
        <dgm:constr type="ctrX" for="ch" forName="right_44_3" refType="w" fact="0.76"/>
        <dgm:constr type="w" for="ch" forName="right_44_4" refType="w" fact="0.36"/>
        <dgm:constr type="h" for="ch" forName="right_44_4" refType="h" fact="0.154"/>
        <dgm:constr type="b" for="ch" forName="right_44_4" refType="h" fact="0.224"/>
        <dgm:constr type="ctrX" for="ch" forName="right_44_4" refType="w" fact="0.76"/>
        <dgm:constr type="w" for="ch" forName="left_44_1" refType="w" fact="0.36"/>
        <dgm:constr type="h" for="ch" forName="left_44_1" refType="h" fact="0.154"/>
        <dgm:constr type="b" for="ch" forName="left_44_1" refType="h" fact="0.725"/>
        <dgm:constr type="ctrX" for="ch" forName="left_44_1" refType="w" fact="0.24"/>
        <dgm:constr type="w" for="ch" forName="left_44_2" refType="w" fact="0.36"/>
        <dgm:constr type="h" for="ch" forName="left_44_2" refType="h" fact="0.154"/>
        <dgm:constr type="b" for="ch" forName="left_44_2" refType="h" fact="0.559"/>
        <dgm:constr type="ctrX" for="ch" forName="left_44_2" refType="w" fact="0.24"/>
        <dgm:constr type="w" for="ch" forName="left_44_3" refType="w" fact="0.36"/>
        <dgm:constr type="h" for="ch" forName="left_44_3" refType="h" fact="0.154"/>
        <dgm:constr type="b" for="ch" forName="left_44_3" refType="h" fact="0.393"/>
        <dgm:constr type="ctrX" for="ch" forName="left_44_3" refType="w" fact="0.24"/>
        <dgm:constr type="w" for="ch" forName="left_44_4" refType="w" fact="0.36"/>
        <dgm:constr type="h" for="ch" forName="left_44_4" refType="h" fact="0.154"/>
        <dgm:constr type="b" for="ch" forName="left_44_4" refType="h" fact="0.224"/>
        <dgm:constr type="ctrX" for="ch" forName="left_44_4" refType="w" fact="0.24"/>
      </dgm:constrLst>
      <dgm:ruleLst/>
      <dgm:layoutNode name="dummyMaxCanvas_ChildArea">
        <dgm:alg type="sp"/>
        <dgm:shape xmlns:r="http://schemas.openxmlformats.org/officeDocument/2006/relationships" r:blip="">
          <dgm:adjLst/>
        </dgm:shape>
        <dgm:presOf/>
        <dgm:constrLst/>
        <dgm:ruleLst/>
      </dgm:layoutNode>
      <dgm:layoutNode name="fulcrum" styleLbl="alignAccFollowNode1">
        <dgm:alg type="sp"/>
        <dgm:shape xmlns:r="http://schemas.openxmlformats.org/officeDocument/2006/relationships" type="triangle" r:blip="">
          <dgm:adjLst/>
        </dgm:shape>
        <dgm:presOf/>
        <dgm:constrLst/>
        <dgm:ruleLst/>
      </dgm:layoutNode>
      <dgm:choose name="Name0">
        <dgm:if name="Name1" axis="ch ch" ptType="node node" st="1 1" cnt="1 0" func="cnt" op="equ" val="0">
          <dgm:choose name="Name2">
            <dgm:if name="Name3" axis="ch ch" ptType="node node" st="2 1" cnt="1 0" func="cnt" op="equ" val="0">
              <dgm:layoutNode name="balance_00" styleLbl="alignAccFollowNode1">
                <dgm:varLst>
                  <dgm:bulletEnabled val="1"/>
                </dgm:varLst>
                <dgm:alg type="sp"/>
                <dgm:shape xmlns:r="http://schemas.openxmlformats.org/officeDocument/2006/relationships" type="rect" r:blip="">
                  <dgm:adjLst/>
                </dgm:shape>
                <dgm:presOf/>
                <dgm:constrLst/>
                <dgm:ruleLst/>
              </dgm:layoutNode>
            </dgm:if>
            <dgm:else name="Name4">
              <dgm:choose name="Name5">
                <dgm:if name="Name6" axis="ch ch" ptType="node node" st="2 1" cnt="1 0" func="cnt" op="equ" val="1">
                  <dgm:layoutNode name="balance_01" styleLbl="alignAccFollowNode1">
                    <dgm:varLst>
                      <dgm:bulletEnabled val="1"/>
                    </dgm:varLst>
                    <dgm:alg type="sp"/>
                    <dgm:shape xmlns:r="http://schemas.openxmlformats.org/officeDocument/2006/relationships" rot="4" type="rect" r:blip="">
                      <dgm:adjLst/>
                    </dgm:shape>
                    <dgm:presOf/>
                    <dgm:constrLst/>
                    <dgm:ruleLst/>
                  </dgm:layoutNode>
                  <dgm:layoutNode name="right_01_1" styleLbl="node1">
                    <dgm:varLst>
                      <dgm:bulletEnabled val="1"/>
                    </dgm:varLst>
                    <dgm:alg type="tx"/>
                    <dgm:shape xmlns:r="http://schemas.openxmlformats.org/officeDocument/2006/relationships" rot="4" type="roundRect" r:blip="">
                      <dgm:adjLst/>
                    </dgm:shape>
                    <dgm:presOf axis="ch ch desOrSelf" ptType="node node node" st="2 1 1" cnt="1 1 0"/>
                    <dgm:constrLst>
                      <dgm:constr type="lMarg" refType="primFontSz" fact="0.3"/>
                      <dgm:constr type="rMarg" refType="primFontSz" fact="0.3"/>
                      <dgm:constr type="tMarg" refType="primFontSz" fact="0.3"/>
                      <dgm:constr type="bMarg" refType="primFontSz" fact="0.3"/>
                    </dgm:constrLst>
                    <dgm:ruleLst>
                      <dgm:rule type="primFontSz" val="5" fact="NaN" max="NaN"/>
                    </dgm:ruleLst>
                  </dgm:layoutNode>
                </dgm:if>
                <dgm:else name="Name7">
                  <dgm:choose name="Name8">
                    <dgm:if name="Name9" axis="ch ch" ptType="node node" st="2 1" cnt="1 0" func="cnt" op="equ" val="2">
                      <dgm:layoutNode name="balance_02" styleLbl="alignAccFollowNode1">
                        <dgm:varLst>
                          <dgm:bulletEnabled val="1"/>
                        </dgm:varLst>
                        <dgm:alg type="sp"/>
                        <dgm:shape xmlns:r="http://schemas.openxmlformats.org/officeDocument/2006/relationships" rot="4" type="rect" r:blip="">
                          <dgm:adjLst/>
                        </dgm:shape>
                        <dgm:presOf/>
                        <dgm:constrLst/>
                        <dgm:ruleLst/>
                      </dgm:layoutNode>
                      <dgm:layoutNode name="right_02_1" styleLbl="node1">
                        <dgm:varLst>
                          <dgm:bulletEnabled val="1"/>
                        </dgm:varLst>
                        <dgm:alg type="tx"/>
                        <dgm:shape xmlns:r="http://schemas.openxmlformats.org/officeDocument/2006/relationships" rot="4" type="roundRect" r:blip="">
                          <dgm:adjLst/>
                        </dgm:shape>
                        <dgm:presOf axis="ch ch desOrSelf" ptType="node node node" st="2 1 1" cnt="1 1 0"/>
                        <dgm:constrLst>
                          <dgm:constr type="lMarg" refType="primFontSz" fact="0.3"/>
                          <dgm:constr type="rMarg" refType="primFontSz" fact="0.3"/>
                          <dgm:constr type="tMarg" refType="primFontSz" fact="0.3"/>
                          <dgm:constr type="bMarg" refType="primFontSz" fact="0.3"/>
                        </dgm:constrLst>
                        <dgm:ruleLst>
                          <dgm:rule type="primFontSz" val="5" fact="NaN" max="NaN"/>
                        </dgm:ruleLst>
                      </dgm:layoutNode>
                      <dgm:layoutNode name="right_02_2" styleLbl="node1">
                        <dgm:varLst>
                          <dgm:bulletEnabled val="1"/>
                        </dgm:varLst>
                        <dgm:alg type="tx"/>
                        <dgm:shape xmlns:r="http://schemas.openxmlformats.org/officeDocument/2006/relationships" rot="4" type="roundRect" r:blip="">
                          <dgm:adjLst/>
                        </dgm:shape>
                        <dgm:presOf axis="ch ch desOrSelf" ptType="node node node" st="2 2 1" cnt="1 1 0"/>
                        <dgm:constrLst>
                          <dgm:constr type="lMarg" refType="primFontSz" fact="0.3"/>
                          <dgm:constr type="rMarg" refType="primFontSz" fact="0.3"/>
                          <dgm:constr type="tMarg" refType="primFontSz" fact="0.3"/>
                          <dgm:constr type="bMarg" refType="primFontSz" fact="0.3"/>
                        </dgm:constrLst>
                        <dgm:ruleLst>
                          <dgm:rule type="primFontSz" val="5" fact="NaN" max="NaN"/>
                        </dgm:ruleLst>
                      </dgm:layoutNode>
                    </dgm:if>
                    <dgm:else name="Name10">
                      <dgm:choose name="Name11">
                        <dgm:if name="Name12" axis="ch ch" ptType="node node" st="2 1" cnt="1 0" func="cnt" op="equ" val="3">
                          <dgm:layoutNode name="balance_03" styleLbl="alignAccFollowNode1">
                            <dgm:varLst>
                              <dgm:bulletEnabled val="1"/>
                            </dgm:varLst>
                            <dgm:alg type="sp"/>
                            <dgm:shape xmlns:r="http://schemas.openxmlformats.org/officeDocument/2006/relationships" rot="4" type="rect" r:blip="">
                              <dgm:adjLst/>
                            </dgm:shape>
                            <dgm:presOf/>
                            <dgm:constrLst/>
                            <dgm:ruleLst/>
                          </dgm:layoutNode>
                          <dgm:layoutNode name="right_03_1" styleLbl="node1">
                            <dgm:varLst>
                              <dgm:bulletEnabled val="1"/>
                            </dgm:varLst>
                            <dgm:alg type="tx"/>
                            <dgm:shape xmlns:r="http://schemas.openxmlformats.org/officeDocument/2006/relationships" rot="4" type="roundRect" r:blip="">
                              <dgm:adjLst/>
                            </dgm:shape>
                            <dgm:presOf axis="ch ch desOrSelf" ptType="node node node" st="2 1 1" cnt="1 1 0"/>
                            <dgm:constrLst>
                              <dgm:constr type="lMarg" refType="primFontSz" fact="0.3"/>
                              <dgm:constr type="rMarg" refType="primFontSz" fact="0.3"/>
                              <dgm:constr type="tMarg" refType="primFontSz" fact="0.3"/>
                              <dgm:constr type="bMarg" refType="primFontSz" fact="0.3"/>
                            </dgm:constrLst>
                            <dgm:ruleLst>
                              <dgm:rule type="primFontSz" val="5" fact="NaN" max="NaN"/>
                            </dgm:ruleLst>
                          </dgm:layoutNode>
                          <dgm:layoutNode name="right_03_2" styleLbl="node1">
                            <dgm:varLst>
                              <dgm:bulletEnabled val="1"/>
                            </dgm:varLst>
                            <dgm:alg type="tx"/>
                            <dgm:shape xmlns:r="http://schemas.openxmlformats.org/officeDocument/2006/relationships" rot="4" type="roundRect" r:blip="">
                              <dgm:adjLst/>
                            </dgm:shape>
                            <dgm:presOf axis="ch ch desOrSelf" ptType="node node node" st="2 2 1" cnt="1 1 0"/>
                            <dgm:constrLst>
                              <dgm:constr type="lMarg" refType="primFontSz" fact="0.3"/>
                              <dgm:constr type="rMarg" refType="primFontSz" fact="0.3"/>
                              <dgm:constr type="tMarg" refType="primFontSz" fact="0.3"/>
                              <dgm:constr type="bMarg" refType="primFontSz" fact="0.3"/>
                            </dgm:constrLst>
                            <dgm:ruleLst>
                              <dgm:rule type="primFontSz" val="5" fact="NaN" max="NaN"/>
                            </dgm:ruleLst>
                          </dgm:layoutNode>
                          <dgm:layoutNode name="right_03_3" styleLbl="node1">
                            <dgm:varLst>
                              <dgm:bulletEnabled val="1"/>
                            </dgm:varLst>
                            <dgm:alg type="tx"/>
                            <dgm:shape xmlns:r="http://schemas.openxmlformats.org/officeDocument/2006/relationships" rot="4" type="roundRect" r:blip="">
                              <dgm:adjLst/>
                            </dgm:shape>
                            <dgm:presOf axis="ch ch desOrSelf" ptType="node node node" st="2 3 1" cnt="1 1 0"/>
                            <dgm:constrLst>
                              <dgm:constr type="lMarg" refType="primFontSz" fact="0.3"/>
                              <dgm:constr type="rMarg" refType="primFontSz" fact="0.3"/>
                              <dgm:constr type="tMarg" refType="primFontSz" fact="0.3"/>
                              <dgm:constr type="bMarg" refType="primFontSz" fact="0.3"/>
                            </dgm:constrLst>
                            <dgm:ruleLst>
                              <dgm:rule type="primFontSz" val="5" fact="NaN" max="NaN"/>
                            </dgm:ruleLst>
                          </dgm:layoutNode>
                        </dgm:if>
                        <dgm:else name="Name13">
                          <dgm:choose name="Name14">
                            <dgm:if name="Name15" axis="ch ch" ptType="node node" st="2 1" cnt="1 0" func="cnt" op="gte" val="4">
                              <dgm:layoutNode name="balance_04" styleLbl="alignAccFollowNode1">
                                <dgm:varLst>
                                  <dgm:bulletEnabled val="1"/>
                                </dgm:varLst>
                                <dgm:alg type="sp"/>
                                <dgm:shape xmlns:r="http://schemas.openxmlformats.org/officeDocument/2006/relationships" rot="4" type="rect" r:blip="">
                                  <dgm:adjLst/>
                                </dgm:shape>
                                <dgm:presOf/>
                                <dgm:constrLst/>
                                <dgm:ruleLst/>
                              </dgm:layoutNode>
                              <dgm:layoutNode name="right_04_1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rot="4" type="roundRect" r:blip="">
                                  <dgm:adjLst/>
                                </dgm:shape>
                                <dgm:presOf axis="ch ch desOrSelf" ptType="node node node" st="2 1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  <dgm:layoutNode name="right_04_2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rot="4" type="roundRect" r:blip="">
                                  <dgm:adjLst/>
                                </dgm:shape>
                                <dgm:presOf axis="ch ch desOrSelf" ptType="node node node" st="2 2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  <dgm:layoutNode name="right_04_3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rot="4" type="roundRect" r:blip="">
                                  <dgm:adjLst/>
                                </dgm:shape>
                                <dgm:presOf axis="ch ch desOrSelf" ptType="node node node" st="2 3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  <dgm:layoutNode name="right_04_4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rot="4" type="roundRect" r:blip="">
                                  <dgm:adjLst/>
                                </dgm:shape>
                                <dgm:presOf axis="ch ch desOrSelf" ptType="node node node" st="2 4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</dgm:if>
                            <dgm:else name="Name16"/>
                          </dgm:choose>
                        </dgm:else>
                      </dgm:choose>
                    </dgm:else>
                  </dgm:choose>
                </dgm:else>
              </dgm:choose>
            </dgm:else>
          </dgm:choose>
        </dgm:if>
        <dgm:else name="Name17">
          <dgm:choose name="Name18">
            <dgm:if name="Name19" axis="ch ch" ptType="node node" st="1 1" cnt="1 0" func="cnt" op="equ" val="1">
              <dgm:choose name="Name20">
                <dgm:if name="Name21" axis="ch ch" ptType="node node" st="2 1" cnt="1 0" func="cnt" op="equ" val="0">
                  <dgm:layoutNode name="balance_10" styleLbl="alignAccFollowNode1">
                    <dgm:varLst>
                      <dgm:bulletEnabled val="1"/>
                    </dgm:varLst>
                    <dgm:alg type="sp"/>
                    <dgm:shape xmlns:r="http://schemas.openxmlformats.org/officeDocument/2006/relationships" rot="-4" type="rect" r:blip="">
                      <dgm:adjLst/>
                    </dgm:shape>
                    <dgm:presOf/>
                    <dgm:constrLst/>
                    <dgm:ruleLst/>
                  </dgm:layoutNode>
                  <dgm:layoutNode name="left_10_1" styleLbl="node1">
                    <dgm:varLst>
                      <dgm:bulletEnabled val="1"/>
                    </dgm:varLst>
                    <dgm:alg type="tx"/>
                    <dgm:shape xmlns:r="http://schemas.openxmlformats.org/officeDocument/2006/relationships" rot="-4" type="roundRect" r:blip="">
                      <dgm:adjLst/>
                    </dgm:shape>
                    <dgm:presOf axis="ch ch desOrSelf" ptType="node node node" st="1 1 1" cnt="1 1 0"/>
                    <dgm:constrLst>
                      <dgm:constr type="lMarg" refType="primFontSz" fact="0.3"/>
                      <dgm:constr type="rMarg" refType="primFontSz" fact="0.3"/>
                      <dgm:constr type="tMarg" refType="primFontSz" fact="0.3"/>
                      <dgm:constr type="bMarg" refType="primFontSz" fact="0.3"/>
                    </dgm:constrLst>
                    <dgm:ruleLst>
                      <dgm:rule type="primFontSz" val="5" fact="NaN" max="NaN"/>
                    </dgm:ruleLst>
                  </dgm:layoutNode>
                </dgm:if>
                <dgm:else name="Name22">
                  <dgm:choose name="Name23">
                    <dgm:if name="Name24" axis="ch ch" ptType="node node" st="2 1" cnt="1 0" func="cnt" op="equ" val="1">
                      <dgm:layoutNode name="balance_11" styleLbl="alignAccFollowNode1">
                        <dgm:varLst>
                          <dgm:bulletEnabled val="1"/>
                        </dgm:varLst>
                        <dgm:alg type="sp"/>
                        <dgm:shape xmlns:r="http://schemas.openxmlformats.org/officeDocument/2006/relationships" type="rect" r:blip="">
                          <dgm:adjLst/>
                        </dgm:shape>
                        <dgm:presOf/>
                        <dgm:constrLst/>
                        <dgm:ruleLst/>
                      </dgm:layoutNode>
                      <dgm:layoutNode name="left_11_1" styleLbl="node1">
                        <dgm:varLst>
                          <dgm:bulletEnabled val="1"/>
                        </dgm:varLst>
                        <dgm:alg type="tx"/>
                        <dgm:shape xmlns:r="http://schemas.openxmlformats.org/officeDocument/2006/relationships" type="roundRect" r:blip="">
                          <dgm:adjLst/>
                        </dgm:shape>
                        <dgm:presOf axis="ch ch desOrSelf" ptType="node node node" st="1 1 1" cnt="1 1 0"/>
                        <dgm:constrLst>
                          <dgm:constr type="lMarg" refType="primFontSz" fact="0.3"/>
                          <dgm:constr type="rMarg" refType="primFontSz" fact="0.3"/>
                          <dgm:constr type="tMarg" refType="primFontSz" fact="0.3"/>
                          <dgm:constr type="bMarg" refType="primFontSz" fact="0.3"/>
                        </dgm:constrLst>
                        <dgm:ruleLst>
                          <dgm:rule type="primFontSz" val="5" fact="NaN" max="NaN"/>
                        </dgm:ruleLst>
                      </dgm:layoutNode>
                      <dgm:layoutNode name="right_11_1" styleLbl="node1">
                        <dgm:varLst>
                          <dgm:bulletEnabled val="1"/>
                        </dgm:varLst>
                        <dgm:alg type="tx"/>
                        <dgm:shape xmlns:r="http://schemas.openxmlformats.org/officeDocument/2006/relationships" type="roundRect" r:blip="">
                          <dgm:adjLst/>
                        </dgm:shape>
                        <dgm:presOf axis="ch ch desOrSelf" ptType="node node node" st="2 1 1" cnt="1 1 0"/>
                        <dgm:constrLst>
                          <dgm:constr type="lMarg" refType="primFontSz" fact="0.3"/>
                          <dgm:constr type="rMarg" refType="primFontSz" fact="0.3"/>
                          <dgm:constr type="tMarg" refType="primFontSz" fact="0.3"/>
                          <dgm:constr type="bMarg" refType="primFontSz" fact="0.3"/>
                        </dgm:constrLst>
                        <dgm:ruleLst>
                          <dgm:rule type="primFontSz" val="5" fact="NaN" max="NaN"/>
                        </dgm:ruleLst>
                      </dgm:layoutNode>
                    </dgm:if>
                    <dgm:else name="Name25">
                      <dgm:choose name="Name26">
                        <dgm:if name="Name27" axis="ch ch" ptType="node node" st="2 1" cnt="1 0" func="cnt" op="equ" val="2">
                          <dgm:layoutNode name="balance_12" styleLbl="alignAccFollowNode1">
                            <dgm:varLst>
                              <dgm:bulletEnabled val="1"/>
                            </dgm:varLst>
                            <dgm:alg type="sp"/>
                            <dgm:shape xmlns:r="http://schemas.openxmlformats.org/officeDocument/2006/relationships" rot="4" type="rect" r:blip="">
                              <dgm:adjLst/>
                            </dgm:shape>
                            <dgm:presOf/>
                            <dgm:constrLst/>
                            <dgm:ruleLst/>
                          </dgm:layoutNode>
                          <dgm:layoutNode name="right_12_1" styleLbl="node1">
                            <dgm:varLst>
                              <dgm:bulletEnabled val="1"/>
                            </dgm:varLst>
                            <dgm:alg type="tx"/>
                            <dgm:shape xmlns:r="http://schemas.openxmlformats.org/officeDocument/2006/relationships" rot="4" type="roundRect" r:blip="">
                              <dgm:adjLst/>
                            </dgm:shape>
                            <dgm:presOf axis="ch ch desOrSelf" ptType="node node node" st="2 1 1" cnt="1 1 0"/>
                            <dgm:constrLst>
                              <dgm:constr type="lMarg" refType="primFontSz" fact="0.3"/>
                              <dgm:constr type="rMarg" refType="primFontSz" fact="0.3"/>
                              <dgm:constr type="tMarg" refType="primFontSz" fact="0.3"/>
                              <dgm:constr type="bMarg" refType="primFontSz" fact="0.3"/>
                            </dgm:constrLst>
                            <dgm:ruleLst>
                              <dgm:rule type="primFontSz" val="5" fact="NaN" max="NaN"/>
                            </dgm:ruleLst>
                          </dgm:layoutNode>
                          <dgm:layoutNode name="right_12_2" styleLbl="node1">
                            <dgm:varLst>
                              <dgm:bulletEnabled val="1"/>
                            </dgm:varLst>
                            <dgm:alg type="tx"/>
                            <dgm:shape xmlns:r="http://schemas.openxmlformats.org/officeDocument/2006/relationships" rot="4" type="roundRect" r:blip="">
                              <dgm:adjLst/>
                            </dgm:shape>
                            <dgm:presOf axis="ch ch desOrSelf" ptType="node node node" st="2 2 1" cnt="1 1 0"/>
                            <dgm:constrLst>
                              <dgm:constr type="lMarg" refType="primFontSz" fact="0.3"/>
                              <dgm:constr type="rMarg" refType="primFontSz" fact="0.3"/>
                              <dgm:constr type="tMarg" refType="primFontSz" fact="0.3"/>
                              <dgm:constr type="bMarg" refType="primFontSz" fact="0.3"/>
                            </dgm:constrLst>
                            <dgm:ruleLst>
                              <dgm:rule type="primFontSz" val="5" fact="NaN" max="NaN"/>
                            </dgm:ruleLst>
                          </dgm:layoutNode>
                          <dgm:layoutNode name="left_12_1" styleLbl="node1">
                            <dgm:varLst>
                              <dgm:bulletEnabled val="1"/>
                            </dgm:varLst>
                            <dgm:alg type="tx"/>
                            <dgm:shape xmlns:r="http://schemas.openxmlformats.org/officeDocument/2006/relationships" rot="4" type="roundRect" r:blip="">
                              <dgm:adjLst/>
                            </dgm:shape>
                            <dgm:presOf axis="ch ch desOrSelf" ptType="node node node" st="1 1 1" cnt="1 1 0"/>
                            <dgm:constrLst>
                              <dgm:constr type="lMarg" refType="primFontSz" fact="0.3"/>
                              <dgm:constr type="rMarg" refType="primFontSz" fact="0.3"/>
                              <dgm:constr type="tMarg" refType="primFontSz" fact="0.3"/>
                              <dgm:constr type="bMarg" refType="primFontSz" fact="0.3"/>
                            </dgm:constrLst>
                            <dgm:ruleLst>
                              <dgm:rule type="primFontSz" val="5" fact="NaN" max="NaN"/>
                            </dgm:ruleLst>
                          </dgm:layoutNode>
                        </dgm:if>
                        <dgm:else name="Name28">
                          <dgm:choose name="Name29">
                            <dgm:if name="Name30" axis="ch ch" ptType="node node" st="2 1" cnt="1 0" func="cnt" op="equ" val="3">
                              <dgm:layoutNode name="balance_13" styleLbl="alignAccFollowNode1">
                                <dgm:varLst>
                                  <dgm:bulletEnabled val="1"/>
                                </dgm:varLst>
                                <dgm:alg type="sp"/>
                                <dgm:shape xmlns:r="http://schemas.openxmlformats.org/officeDocument/2006/relationships" rot="4" type="rect" r:blip="">
                                  <dgm:adjLst/>
                                </dgm:shape>
                                <dgm:presOf/>
                                <dgm:constrLst/>
                                <dgm:ruleLst/>
                              </dgm:layoutNode>
                              <dgm:layoutNode name="right_13_1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rot="4" type="roundRect" r:blip="">
                                  <dgm:adjLst/>
                                </dgm:shape>
                                <dgm:presOf axis="ch ch desOrSelf" ptType="node node node" st="2 1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  <dgm:layoutNode name="right_13_2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rot="4" type="roundRect" r:blip="">
                                  <dgm:adjLst/>
                                </dgm:shape>
                                <dgm:presOf axis="ch ch desOrSelf" ptType="node node node" st="2 2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  <dgm:layoutNode name="right_13_3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rot="4" type="roundRect" r:blip="">
                                  <dgm:adjLst/>
                                </dgm:shape>
                                <dgm:presOf axis="ch ch desOrSelf" ptType="node node node" st="2 3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  <dgm:layoutNode name="left_13_1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rot="4" type="roundRect" r:blip="">
                                  <dgm:adjLst/>
                                </dgm:shape>
                                <dgm:presOf axis="ch ch desOrSelf" ptType="node node node" st="1 1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</dgm:if>
                            <dgm:else name="Name31">
                              <dgm:choose name="Name32">
                                <dgm:if name="Name33" axis="ch ch" ptType="node node" st="2 1" cnt="1 0" func="cnt" op="gte" val="4">
                                  <dgm:layoutNode name="balance_14" styleLbl="alignAccFollowNode1">
                                    <dgm:varLst>
                                      <dgm:bulletEnabled val="1"/>
                                    </dgm:varLst>
                                    <dgm:alg type="sp"/>
                                    <dgm:shape xmlns:r="http://schemas.openxmlformats.org/officeDocument/2006/relationships" rot="4" type="rect" r:blip="">
                                      <dgm:adjLst/>
                                    </dgm:shape>
                                    <dgm:presOf/>
                                    <dgm:constrLst/>
                                    <dgm:ruleLst/>
                                  </dgm:layoutNode>
                                  <dgm:layoutNode name="right_14_1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4" type="roundRect" r:blip="">
                                      <dgm:adjLst/>
                                    </dgm:shape>
                                    <dgm:presOf axis="ch ch desOrSelf" ptType="node node node" st="2 1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  <dgm:layoutNode name="right_14_2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4" type="roundRect" r:blip="">
                                      <dgm:adjLst/>
                                    </dgm:shape>
                                    <dgm:presOf axis="ch ch desOrSelf" ptType="node node node" st="2 2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  <dgm:layoutNode name="right_14_3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4" type="roundRect" r:blip="">
                                      <dgm:adjLst/>
                                    </dgm:shape>
                                    <dgm:presOf axis="ch ch desOrSelf" ptType="node node node" st="2 3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  <dgm:layoutNode name="right_14_4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4" type="roundRect" r:blip="">
                                      <dgm:adjLst/>
                                    </dgm:shape>
                                    <dgm:presOf axis="ch ch desOrSelf" ptType="node node node" st="2 4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  <dgm:layoutNode name="left_14_1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4" type="roundRect" r:blip="">
                                      <dgm:adjLst/>
                                    </dgm:shape>
                                    <dgm:presOf axis="ch ch desOrSelf" ptType="node node node" st="1 1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</dgm:if>
                                <dgm:else name="Name34"/>
                              </dgm:choose>
                            </dgm:else>
                          </dgm:choose>
                        </dgm:else>
                      </dgm:choose>
                    </dgm:else>
                  </dgm:choose>
                </dgm:else>
              </dgm:choose>
            </dgm:if>
            <dgm:else name="Name35">
              <dgm:choose name="Name36">
                <dgm:if name="Name37" axis="ch ch" ptType="node node" st="1 1" cnt="1 0" func="cnt" op="equ" val="2">
                  <dgm:choose name="Name38">
                    <dgm:if name="Name39" axis="ch ch" ptType="node node" st="2 1" cnt="1 0" func="cnt" op="equ" val="0">
                      <dgm:layoutNode name="balance_20" styleLbl="alignAccFollowNode1">
                        <dgm:varLst>
                          <dgm:bulletEnabled val="1"/>
                        </dgm:varLst>
                        <dgm:alg type="sp"/>
                        <dgm:shape xmlns:r="http://schemas.openxmlformats.org/officeDocument/2006/relationships" rot="-4" type="rect" r:blip="">
                          <dgm:adjLst/>
                        </dgm:shape>
                        <dgm:presOf/>
                        <dgm:constrLst/>
                        <dgm:ruleLst/>
                      </dgm:layoutNode>
                      <dgm:layoutNode name="left_20_1" styleLbl="node1">
                        <dgm:varLst>
                          <dgm:bulletEnabled val="1"/>
                        </dgm:varLst>
                        <dgm:alg type="tx"/>
                        <dgm:shape xmlns:r="http://schemas.openxmlformats.org/officeDocument/2006/relationships" rot="-4" type="roundRect" r:blip="">
                          <dgm:adjLst/>
                        </dgm:shape>
                        <dgm:presOf axis="ch ch desOrSelf" ptType="node node node" st="1 1 1" cnt="1 1 0"/>
                        <dgm:constrLst>
                          <dgm:constr type="lMarg" refType="primFontSz" fact="0.3"/>
                          <dgm:constr type="rMarg" refType="primFontSz" fact="0.3"/>
                          <dgm:constr type="tMarg" refType="primFontSz" fact="0.3"/>
                          <dgm:constr type="bMarg" refType="primFontSz" fact="0.3"/>
                        </dgm:constrLst>
                        <dgm:ruleLst>
                          <dgm:rule type="primFontSz" val="5" fact="NaN" max="NaN"/>
                        </dgm:ruleLst>
                      </dgm:layoutNode>
                      <dgm:layoutNode name="left_20_2" styleLbl="node1">
                        <dgm:varLst>
                          <dgm:bulletEnabled val="1"/>
                        </dgm:varLst>
                        <dgm:alg type="tx"/>
                        <dgm:shape xmlns:r="http://schemas.openxmlformats.org/officeDocument/2006/relationships" rot="-4" type="roundRect" r:blip="">
                          <dgm:adjLst/>
                        </dgm:shape>
                        <dgm:presOf axis="ch ch desOrSelf" ptType="node node node" st="1 2 1" cnt="1 1 0"/>
                        <dgm:constrLst>
                          <dgm:constr type="lMarg" refType="primFontSz" fact="0.3"/>
                          <dgm:constr type="rMarg" refType="primFontSz" fact="0.3"/>
                          <dgm:constr type="tMarg" refType="primFontSz" fact="0.3"/>
                          <dgm:constr type="bMarg" refType="primFontSz" fact="0.3"/>
                        </dgm:constrLst>
                        <dgm:ruleLst>
                          <dgm:rule type="primFontSz" val="5" fact="NaN" max="NaN"/>
                        </dgm:ruleLst>
                      </dgm:layoutNode>
                    </dgm:if>
                    <dgm:else name="Name40">
                      <dgm:choose name="Name41">
                        <dgm:if name="Name42" axis="ch ch" ptType="node node" st="2 1" cnt="1 0" func="cnt" op="equ" val="1">
                          <dgm:layoutNode name="balance_21" styleLbl="alignAccFollowNode1">
                            <dgm:varLst>
                              <dgm:bulletEnabled val="1"/>
                            </dgm:varLst>
                            <dgm:alg type="sp"/>
                            <dgm:shape xmlns:r="http://schemas.openxmlformats.org/officeDocument/2006/relationships" rot="-4" type="rect" r:blip="">
                              <dgm:adjLst/>
                            </dgm:shape>
                            <dgm:presOf/>
                            <dgm:constrLst/>
                            <dgm:ruleLst/>
                          </dgm:layoutNode>
                          <dgm:layoutNode name="left_21_1" styleLbl="node1">
                            <dgm:varLst>
                              <dgm:bulletEnabled val="1"/>
                            </dgm:varLst>
                            <dgm:alg type="tx"/>
                            <dgm:shape xmlns:r="http://schemas.openxmlformats.org/officeDocument/2006/relationships" rot="-4" type="roundRect" r:blip="">
                              <dgm:adjLst/>
                            </dgm:shape>
                            <dgm:presOf axis="ch ch desOrSelf" ptType="node node node" st="1 1 1" cnt="1 1 0"/>
                            <dgm:constrLst>
                              <dgm:constr type="lMarg" refType="primFontSz" fact="0.3"/>
                              <dgm:constr type="rMarg" refType="primFontSz" fact="0.3"/>
                              <dgm:constr type="tMarg" refType="primFontSz" fact="0.3"/>
                              <dgm:constr type="bMarg" refType="primFontSz" fact="0.3"/>
                            </dgm:constrLst>
                            <dgm:ruleLst>
                              <dgm:rule type="primFontSz" val="5" fact="NaN" max="NaN"/>
                            </dgm:ruleLst>
                          </dgm:layoutNode>
                          <dgm:layoutNode name="left_21_2" styleLbl="node1">
                            <dgm:varLst>
                              <dgm:bulletEnabled val="1"/>
                            </dgm:varLst>
                            <dgm:alg type="tx"/>
                            <dgm:shape xmlns:r="http://schemas.openxmlformats.org/officeDocument/2006/relationships" rot="-4" type="roundRect" r:blip="">
                              <dgm:adjLst/>
                            </dgm:shape>
                            <dgm:presOf axis="ch ch desOrSelf" ptType="node node node" st="1 2 1" cnt="1 1 0"/>
                            <dgm:constrLst>
                              <dgm:constr type="lMarg" refType="primFontSz" fact="0.3"/>
                              <dgm:constr type="rMarg" refType="primFontSz" fact="0.3"/>
                              <dgm:constr type="tMarg" refType="primFontSz" fact="0.3"/>
                              <dgm:constr type="bMarg" refType="primFontSz" fact="0.3"/>
                            </dgm:constrLst>
                            <dgm:ruleLst>
                              <dgm:rule type="primFontSz" val="5" fact="NaN" max="NaN"/>
                            </dgm:ruleLst>
                          </dgm:layoutNode>
                          <dgm:layoutNode name="right_21_1" styleLbl="node1">
                            <dgm:varLst>
                              <dgm:bulletEnabled val="1"/>
                            </dgm:varLst>
                            <dgm:alg type="tx"/>
                            <dgm:shape xmlns:r="http://schemas.openxmlformats.org/officeDocument/2006/relationships" rot="-4" type="roundRect" r:blip="">
                              <dgm:adjLst/>
                            </dgm:shape>
                            <dgm:presOf axis="ch ch desOrSelf" ptType="node node node" st="2 1 1" cnt="1 1 0"/>
                            <dgm:constrLst>
                              <dgm:constr type="lMarg" refType="primFontSz" fact="0.3"/>
                              <dgm:constr type="rMarg" refType="primFontSz" fact="0.3"/>
                              <dgm:constr type="tMarg" refType="primFontSz" fact="0.3"/>
                              <dgm:constr type="bMarg" refType="primFontSz" fact="0.3"/>
                            </dgm:constrLst>
                            <dgm:ruleLst>
                              <dgm:rule type="primFontSz" val="5" fact="NaN" max="NaN"/>
                            </dgm:ruleLst>
                          </dgm:layoutNode>
                        </dgm:if>
                        <dgm:else name="Name43">
                          <dgm:choose name="Name44">
                            <dgm:if name="Name45" axis="ch ch" ptType="node node" st="2 1" cnt="1 0" func="cnt" op="equ" val="2">
                              <dgm:layoutNode name="balance_22" styleLbl="alignAccFollowNode1">
                                <dgm:varLst>
                                  <dgm:bulletEnabled val="1"/>
                                </dgm:varLst>
                                <dgm:alg type="sp"/>
                                <dgm:shape xmlns:r="http://schemas.openxmlformats.org/officeDocument/2006/relationships" type="rect" r:blip="">
                                  <dgm:adjLst/>
                                </dgm:shape>
                                <dgm:presOf/>
                                <dgm:constrLst/>
                                <dgm:ruleLst/>
                              </dgm:layoutNode>
                              <dgm:layoutNode name="right_22_1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type="roundRect" r:blip="">
                                  <dgm:adjLst/>
                                </dgm:shape>
                                <dgm:presOf axis="ch ch desOrSelf" ptType="node node node" st="2 1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  <dgm:layoutNode name="right_22_2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type="roundRect" r:blip="">
                                  <dgm:adjLst/>
                                </dgm:shape>
                                <dgm:presOf axis="ch ch desOrSelf" ptType="node node node" st="2 2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  <dgm:layoutNode name="left_22_1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type="roundRect" r:blip="">
                                  <dgm:adjLst/>
                                </dgm:shape>
                                <dgm:presOf axis="ch ch desOrSelf" ptType="node node node" st="1 1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  <dgm:layoutNode name="left_22_2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type="roundRect" r:blip="">
                                  <dgm:adjLst/>
                                </dgm:shape>
                                <dgm:presOf axis="ch ch desOrSelf" ptType="node node node" st="1 2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</dgm:if>
                            <dgm:else name="Name46">
                              <dgm:choose name="Name47">
                                <dgm:if name="Name48" axis="ch ch" ptType="node node" st="2 1" cnt="1 0" func="cnt" op="equ" val="3">
                                  <dgm:layoutNode name="balance_23" styleLbl="alignAccFollowNode1">
                                    <dgm:varLst>
                                      <dgm:bulletEnabled val="1"/>
                                    </dgm:varLst>
                                    <dgm:alg type="sp"/>
                                    <dgm:shape xmlns:r="http://schemas.openxmlformats.org/officeDocument/2006/relationships" rot="4" type="rect" r:blip="">
                                      <dgm:adjLst/>
                                    </dgm:shape>
                                    <dgm:presOf/>
                                    <dgm:constrLst/>
                                    <dgm:ruleLst/>
                                  </dgm:layoutNode>
                                  <dgm:layoutNode name="right_23_1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4" type="roundRect" r:blip="">
                                      <dgm:adjLst/>
                                    </dgm:shape>
                                    <dgm:presOf axis="ch ch desOrSelf" ptType="node node node" st="2 1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  <dgm:layoutNode name="right_23_2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4" type="roundRect" r:blip="">
                                      <dgm:adjLst/>
                                    </dgm:shape>
                                    <dgm:presOf axis="ch ch desOrSelf" ptType="node node node" st="2 2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  <dgm:layoutNode name="right_23_3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4" type="roundRect" r:blip="">
                                      <dgm:adjLst/>
                                    </dgm:shape>
                                    <dgm:presOf axis="ch ch desOrSelf" ptType="node node node" st="2 3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  <dgm:layoutNode name="left_23_1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4" type="roundRect" r:blip="">
                                      <dgm:adjLst/>
                                    </dgm:shape>
                                    <dgm:presOf axis="ch ch desOrSelf" ptType="node node node" st="1 1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  <dgm:layoutNode name="left_23_2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4" type="roundRect" r:blip="">
                                      <dgm:adjLst/>
                                    </dgm:shape>
                                    <dgm:presOf axis="ch ch desOrSelf" ptType="node node node" st="1 2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</dgm:if>
                                <dgm:else name="Name49">
                                  <dgm:choose name="Name50">
                                    <dgm:if name="Name51" axis="ch ch" ptType="node node" st="2 1" cnt="1 0" func="cnt" op="gte" val="4">
                                      <dgm:layoutNode name="balance_24" styleLbl="alignAccFollowNode1">
                                        <dgm:varLst>
                                          <dgm:bulletEnabled val="1"/>
                                        </dgm:varLst>
                                        <dgm:alg type="sp"/>
                                        <dgm:shape xmlns:r="http://schemas.openxmlformats.org/officeDocument/2006/relationships" rot="4" type="rect" r:blip="">
                                          <dgm:adjLst/>
                                        </dgm:shape>
                                        <dgm:presOf/>
                                        <dgm:constrLst/>
                                        <dgm:ruleLst/>
                                      </dgm:layoutNode>
                                      <dgm:layoutNode name="right_24_1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rot="4" type="roundRect" r:blip="">
                                          <dgm:adjLst/>
                                        </dgm:shape>
                                        <dgm:presOf axis="ch ch desOrSelf" ptType="node node node" st="2 1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  <dgm:layoutNode name="right_24_2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rot="4" type="roundRect" r:blip="">
                                          <dgm:adjLst/>
                                        </dgm:shape>
                                        <dgm:presOf axis="ch ch desOrSelf" ptType="node node node" st="2 2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  <dgm:layoutNode name="right_24_3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rot="4" type="roundRect" r:blip="">
                                          <dgm:adjLst/>
                                        </dgm:shape>
                                        <dgm:presOf axis="ch ch desOrSelf" ptType="node node node" st="2 3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  <dgm:layoutNode name="right_24_4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rot="4" type="roundRect" r:blip="">
                                          <dgm:adjLst/>
                                        </dgm:shape>
                                        <dgm:presOf axis="ch ch desOrSelf" ptType="node node node" st="2 4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  <dgm:layoutNode name="left_24_1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rot="4" type="roundRect" r:blip="">
                                          <dgm:adjLst/>
                                        </dgm:shape>
                                        <dgm:presOf axis="ch ch desOrSelf" ptType="node node node" st="1 1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  <dgm:layoutNode name="left_24_2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rot="4" type="roundRect" r:blip="">
                                          <dgm:adjLst/>
                                        </dgm:shape>
                                        <dgm:presOf axis="ch ch desOrSelf" ptType="node node node" st="1 2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</dgm:if>
                                    <dgm:else name="Name52"/>
                                  </dgm:choose>
                                </dgm:else>
                              </dgm:choose>
                            </dgm:else>
                          </dgm:choose>
                        </dgm:else>
                      </dgm:choose>
                    </dgm:else>
                  </dgm:choose>
                </dgm:if>
                <dgm:else name="Name53">
                  <dgm:choose name="Name54">
                    <dgm:if name="Name55" axis="ch ch" ptType="node node" st="1 1" cnt="1 0" func="cnt" op="equ" val="3">
                      <dgm:choose name="Name56">
                        <dgm:if name="Name57" axis="ch ch" ptType="node node" st="2 1" cnt="1 0" func="cnt" op="equ" val="0">
                          <dgm:layoutNode name="balance_30" styleLbl="alignAccFollowNode1">
                            <dgm:varLst>
                              <dgm:bulletEnabled val="1"/>
                            </dgm:varLst>
                            <dgm:alg type="sp"/>
                            <dgm:shape xmlns:r="http://schemas.openxmlformats.org/officeDocument/2006/relationships" rot="-4" type="rect" r:blip="">
                              <dgm:adjLst/>
                            </dgm:shape>
                            <dgm:presOf/>
                            <dgm:constrLst/>
                            <dgm:ruleLst/>
                          </dgm:layoutNode>
                          <dgm:layoutNode name="left_30_1" styleLbl="node1">
                            <dgm:varLst>
                              <dgm:bulletEnabled val="1"/>
                            </dgm:varLst>
                            <dgm:alg type="tx"/>
                            <dgm:shape xmlns:r="http://schemas.openxmlformats.org/officeDocument/2006/relationships" rot="-4" type="roundRect" r:blip="">
                              <dgm:adjLst/>
                            </dgm:shape>
                            <dgm:presOf axis="ch ch desOrSelf" ptType="node node node" st="1 1 1" cnt="1 1 0"/>
                            <dgm:constrLst>
                              <dgm:constr type="lMarg" refType="primFontSz" fact="0.3"/>
                              <dgm:constr type="rMarg" refType="primFontSz" fact="0.3"/>
                              <dgm:constr type="tMarg" refType="primFontSz" fact="0.3"/>
                              <dgm:constr type="bMarg" refType="primFontSz" fact="0.3"/>
                            </dgm:constrLst>
                            <dgm:ruleLst>
                              <dgm:rule type="primFontSz" val="5" fact="NaN" max="NaN"/>
                            </dgm:ruleLst>
                          </dgm:layoutNode>
                          <dgm:layoutNode name="left_30_2" styleLbl="node1">
                            <dgm:varLst>
                              <dgm:bulletEnabled val="1"/>
                            </dgm:varLst>
                            <dgm:alg type="tx"/>
                            <dgm:shape xmlns:r="http://schemas.openxmlformats.org/officeDocument/2006/relationships" rot="-4" type="roundRect" r:blip="">
                              <dgm:adjLst/>
                            </dgm:shape>
                            <dgm:presOf axis="ch ch desOrSelf" ptType="node node node" st="1 2 1" cnt="1 1 0"/>
                            <dgm:constrLst>
                              <dgm:constr type="lMarg" refType="primFontSz" fact="0.3"/>
                              <dgm:constr type="rMarg" refType="primFontSz" fact="0.3"/>
                              <dgm:constr type="tMarg" refType="primFontSz" fact="0.3"/>
                              <dgm:constr type="bMarg" refType="primFontSz" fact="0.3"/>
                            </dgm:constrLst>
                            <dgm:ruleLst>
                              <dgm:rule type="primFontSz" val="5" fact="NaN" max="NaN"/>
                            </dgm:ruleLst>
                          </dgm:layoutNode>
                          <dgm:layoutNode name="left_30_3" styleLbl="node1">
                            <dgm:varLst>
                              <dgm:bulletEnabled val="1"/>
                            </dgm:varLst>
                            <dgm:alg type="tx"/>
                            <dgm:shape xmlns:r="http://schemas.openxmlformats.org/officeDocument/2006/relationships" rot="-4" type="roundRect" r:blip="">
                              <dgm:adjLst/>
                            </dgm:shape>
                            <dgm:presOf axis="ch ch desOrSelf" ptType="node node node" st="1 3 1" cnt="1 1 0"/>
                            <dgm:constrLst>
                              <dgm:constr type="lMarg" refType="primFontSz" fact="0.3"/>
                              <dgm:constr type="rMarg" refType="primFontSz" fact="0.3"/>
                              <dgm:constr type="tMarg" refType="primFontSz" fact="0.3"/>
                              <dgm:constr type="bMarg" refType="primFontSz" fact="0.3"/>
                            </dgm:constrLst>
                            <dgm:ruleLst>
                              <dgm:rule type="primFontSz" val="5" fact="NaN" max="NaN"/>
                            </dgm:ruleLst>
                          </dgm:layoutNode>
                        </dgm:if>
                        <dgm:else name="Name58">
                          <dgm:choose name="Name59">
                            <dgm:if name="Name60" axis="ch ch" ptType="node node" st="2 1" cnt="1 0" func="cnt" op="equ" val="1">
                              <dgm:layoutNode name="balance_31" styleLbl="alignAccFollowNode1">
                                <dgm:varLst>
                                  <dgm:bulletEnabled val="1"/>
                                </dgm:varLst>
                                <dgm:alg type="sp"/>
                                <dgm:shape xmlns:r="http://schemas.openxmlformats.org/officeDocument/2006/relationships" rot="-4" type="rect" r:blip="">
                                  <dgm:adjLst/>
                                </dgm:shape>
                                <dgm:presOf/>
                                <dgm:constrLst/>
                                <dgm:ruleLst/>
                              </dgm:layoutNode>
                              <dgm:layoutNode name="left_31_1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rot="-4" type="roundRect" r:blip="">
                                  <dgm:adjLst/>
                                </dgm:shape>
                                <dgm:presOf axis="ch ch desOrSelf" ptType="node node node" st="1 1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  <dgm:layoutNode name="left_31_2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rot="-4" type="roundRect" r:blip="">
                                  <dgm:adjLst/>
                                </dgm:shape>
                                <dgm:presOf axis="ch ch desOrSelf" ptType="node node node" st="1 2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  <dgm:layoutNode name="left_31_3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rot="-4" type="roundRect" r:blip="">
                                  <dgm:adjLst/>
                                </dgm:shape>
                                <dgm:presOf axis="ch ch desOrSelf" ptType="node node node" st="1 3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  <dgm:layoutNode name="right_31_1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rot="-4" type="roundRect" r:blip="">
                                  <dgm:adjLst/>
                                </dgm:shape>
                                <dgm:presOf axis="ch ch desOrSelf" ptType="node node node" st="2 1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</dgm:if>
                            <dgm:else name="Name61">
                              <dgm:choose name="Name62">
                                <dgm:if name="Name63" axis="ch ch" ptType="node node" st="2 1" cnt="1 0" func="cnt" op="equ" val="2">
                                  <dgm:layoutNode name="balance_32" styleLbl="alignAccFollowNode1">
                                    <dgm:varLst>
                                      <dgm:bulletEnabled val="1"/>
                                    </dgm:varLst>
                                    <dgm:alg type="sp"/>
                                    <dgm:shape xmlns:r="http://schemas.openxmlformats.org/officeDocument/2006/relationships" rot="-4" type="rect" r:blip="">
                                      <dgm:adjLst/>
                                    </dgm:shape>
                                    <dgm:presOf/>
                                    <dgm:constrLst/>
                                    <dgm:ruleLst/>
                                  </dgm:layoutNode>
                                  <dgm:layoutNode name="left_32_1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-4" type="roundRect" r:blip="">
                                      <dgm:adjLst/>
                                    </dgm:shape>
                                    <dgm:presOf axis="ch ch desOrSelf" ptType="node node node" st="1 1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  <dgm:layoutNode name="left_32_2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-4" type="roundRect" r:blip="">
                                      <dgm:adjLst/>
                                    </dgm:shape>
                                    <dgm:presOf axis="ch ch desOrSelf" ptType="node node node" st="1 2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  <dgm:layoutNode name="left_32_3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-4" type="roundRect" r:blip="">
                                      <dgm:adjLst/>
                                    </dgm:shape>
                                    <dgm:presOf axis="ch ch desOrSelf" ptType="node node node" st="1 3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  <dgm:layoutNode name="right_32_1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-4" type="roundRect" r:blip="">
                                      <dgm:adjLst/>
                                    </dgm:shape>
                                    <dgm:presOf axis="ch ch desOrSelf" ptType="node node node" st="2 1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  <dgm:layoutNode name="right_32_2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-4" type="roundRect" r:blip="">
                                      <dgm:adjLst/>
                                    </dgm:shape>
                                    <dgm:presOf axis="ch ch desOrSelf" ptType="node node node" st="2 2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</dgm:if>
                                <dgm:else name="Name64">
                                  <dgm:choose name="Name65">
                                    <dgm:if name="Name66" axis="ch ch" ptType="node node" st="2 1" cnt="1 0" func="cnt" op="equ" val="3">
                                      <dgm:layoutNode name="balance_33" styleLbl="alignAccFollowNode1">
                                        <dgm:varLst>
                                          <dgm:bulletEnabled val="1"/>
                                        </dgm:varLst>
                                        <dgm:alg type="sp"/>
                                        <dgm:shape xmlns:r="http://schemas.openxmlformats.org/officeDocument/2006/relationships" type="rect" r:blip="">
                                          <dgm:adjLst/>
                                        </dgm:shape>
                                        <dgm:presOf/>
                                        <dgm:constrLst/>
                                        <dgm:ruleLst/>
                                      </dgm:layoutNode>
                                      <dgm:layoutNode name="right_33_1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type="roundRect" r:blip="">
                                          <dgm:adjLst/>
                                        </dgm:shape>
                                        <dgm:presOf axis="ch ch desOrSelf" ptType="node node node" st="2 1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  <dgm:layoutNode name="right_33_2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type="roundRect" r:blip="">
                                          <dgm:adjLst/>
                                        </dgm:shape>
                                        <dgm:presOf axis="ch ch desOrSelf" ptType="node node node" st="2 2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  <dgm:layoutNode name="right_33_3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type="roundRect" r:blip="">
                                          <dgm:adjLst/>
                                        </dgm:shape>
                                        <dgm:presOf axis="ch ch desOrSelf" ptType="node node node" st="2 3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  <dgm:layoutNode name="left_33_1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type="roundRect" r:blip="">
                                          <dgm:adjLst/>
                                        </dgm:shape>
                                        <dgm:presOf axis="ch ch desOrSelf" ptType="node node node" st="1 1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  <dgm:layoutNode name="left_33_2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type="roundRect" r:blip="">
                                          <dgm:adjLst/>
                                        </dgm:shape>
                                        <dgm:presOf axis="ch ch desOrSelf" ptType="node node node" st="1 2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  <dgm:layoutNode name="left_33_3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type="roundRect" r:blip="">
                                          <dgm:adjLst/>
                                        </dgm:shape>
                                        <dgm:presOf axis="ch ch desOrSelf" ptType="node node node" st="1 3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</dgm:if>
                                    <dgm:else name="Name67">
                                      <dgm:choose name="Name68">
                                        <dgm:if name="Name69" axis="ch ch" ptType="node node" st="2 1" cnt="1 0" func="cnt" op="gte" val="4">
                                          <dgm:layoutNode name="balance_34" styleLbl="alignAccFollowNode1">
                                            <dgm:varLst>
                                              <dgm:bulletEnabled val="1"/>
                                            </dgm:varLst>
                                            <dgm:alg type="sp"/>
                                            <dgm:shape xmlns:r="http://schemas.openxmlformats.org/officeDocument/2006/relationships" rot="4" type="rect" r:blip="">
                                              <dgm:adjLst/>
                                            </dgm:shape>
                                            <dgm:presOf/>
                                            <dgm:constrLst/>
                                            <dgm:ruleLst/>
                                          </dgm:layoutNode>
                                          <dgm:layoutNode name="right_34_1" styleLbl="node1">
                                            <dgm:varLst>
                                              <dgm:bulletEnabled val="1"/>
                                            </dgm:varLst>
                                            <dgm:alg type="tx"/>
                                            <dgm:shape xmlns:r="http://schemas.openxmlformats.org/officeDocument/2006/relationships" rot="4" type="roundRect" r:blip="">
                                              <dgm:adjLst/>
                                            </dgm:shape>
                                            <dgm:presOf axis="ch ch desOrSelf" ptType="node node node" st="2 1 1" cnt="1 1 0"/>
                                            <dgm:constrLst>
                                              <dgm:constr type="lMarg" refType="primFontSz" fact="0.3"/>
                                              <dgm:constr type="rMarg" refType="primFontSz" fact="0.3"/>
                                              <dgm:constr type="tMarg" refType="primFontSz" fact="0.3"/>
                                              <dgm:constr type="bMarg" refType="primFontSz" fact="0.3"/>
                                            </dgm:constrLst>
                                            <dgm:ruleLst>
                                              <dgm:rule type="primFontSz" val="5" fact="NaN" max="NaN"/>
                                            </dgm:ruleLst>
                                          </dgm:layoutNode>
                                          <dgm:layoutNode name="right_34_2" styleLbl="node1">
                                            <dgm:varLst>
                                              <dgm:bulletEnabled val="1"/>
                                            </dgm:varLst>
                                            <dgm:alg type="tx"/>
                                            <dgm:shape xmlns:r="http://schemas.openxmlformats.org/officeDocument/2006/relationships" rot="4" type="roundRect" r:blip="">
                                              <dgm:adjLst/>
                                            </dgm:shape>
                                            <dgm:presOf axis="ch ch desOrSelf" ptType="node node node" st="2 2 1" cnt="1 1 0"/>
                                            <dgm:constrLst>
                                              <dgm:constr type="lMarg" refType="primFontSz" fact="0.3"/>
                                              <dgm:constr type="rMarg" refType="primFontSz" fact="0.3"/>
                                              <dgm:constr type="tMarg" refType="primFontSz" fact="0.3"/>
                                              <dgm:constr type="bMarg" refType="primFontSz" fact="0.3"/>
                                            </dgm:constrLst>
                                            <dgm:ruleLst>
                                              <dgm:rule type="primFontSz" val="5" fact="NaN" max="NaN"/>
                                            </dgm:ruleLst>
                                          </dgm:layoutNode>
                                          <dgm:layoutNode name="right_34_3" styleLbl="node1">
                                            <dgm:varLst>
                                              <dgm:bulletEnabled val="1"/>
                                            </dgm:varLst>
                                            <dgm:alg type="tx"/>
                                            <dgm:shape xmlns:r="http://schemas.openxmlformats.org/officeDocument/2006/relationships" rot="4" type="roundRect" r:blip="">
                                              <dgm:adjLst/>
                                            </dgm:shape>
                                            <dgm:presOf axis="ch ch desOrSelf" ptType="node node node" st="2 3 1" cnt="1 1 0"/>
                                            <dgm:constrLst>
                                              <dgm:constr type="lMarg" refType="primFontSz" fact="0.3"/>
                                              <dgm:constr type="rMarg" refType="primFontSz" fact="0.3"/>
                                              <dgm:constr type="tMarg" refType="primFontSz" fact="0.3"/>
                                              <dgm:constr type="bMarg" refType="primFontSz" fact="0.3"/>
                                            </dgm:constrLst>
                                            <dgm:ruleLst>
                                              <dgm:rule type="primFontSz" val="5" fact="NaN" max="NaN"/>
                                            </dgm:ruleLst>
                                          </dgm:layoutNode>
                                          <dgm:layoutNode name="right_34_4" styleLbl="node1">
                                            <dgm:varLst>
                                              <dgm:bulletEnabled val="1"/>
                                            </dgm:varLst>
                                            <dgm:alg type="tx"/>
                                            <dgm:shape xmlns:r="http://schemas.openxmlformats.org/officeDocument/2006/relationships" rot="4" type="roundRect" r:blip="">
                                              <dgm:adjLst/>
                                            </dgm:shape>
                                            <dgm:presOf axis="ch ch desOrSelf" ptType="node node node" st="2 4 1" cnt="1 1 0"/>
                                            <dgm:constrLst>
                                              <dgm:constr type="lMarg" refType="primFontSz" fact="0.3"/>
                                              <dgm:constr type="rMarg" refType="primFontSz" fact="0.3"/>
                                              <dgm:constr type="tMarg" refType="primFontSz" fact="0.3"/>
                                              <dgm:constr type="bMarg" refType="primFontSz" fact="0.3"/>
                                            </dgm:constrLst>
                                            <dgm:ruleLst>
                                              <dgm:rule type="primFontSz" val="5" fact="NaN" max="NaN"/>
                                            </dgm:ruleLst>
                                          </dgm:layoutNode>
                                          <dgm:layoutNode name="left_34_1" styleLbl="node1">
                                            <dgm:varLst>
                                              <dgm:bulletEnabled val="1"/>
                                            </dgm:varLst>
                                            <dgm:alg type="tx"/>
                                            <dgm:shape xmlns:r="http://schemas.openxmlformats.org/officeDocument/2006/relationships" rot="4" type="roundRect" r:blip="">
                                              <dgm:adjLst/>
                                            </dgm:shape>
                                            <dgm:presOf axis="ch ch desOrSelf" ptType="node node node" st="1 1 1" cnt="1 1 0"/>
                                            <dgm:constrLst>
                                              <dgm:constr type="lMarg" refType="primFontSz" fact="0.3"/>
                                              <dgm:constr type="rMarg" refType="primFontSz" fact="0.3"/>
                                              <dgm:constr type="tMarg" refType="primFontSz" fact="0.3"/>
                                              <dgm:constr type="bMarg" refType="primFontSz" fact="0.3"/>
                                            </dgm:constrLst>
                                            <dgm:ruleLst>
                                              <dgm:rule type="primFontSz" val="5" fact="NaN" max="NaN"/>
                                            </dgm:ruleLst>
                                          </dgm:layoutNode>
                                          <dgm:layoutNode name="left_34_2" styleLbl="node1">
                                            <dgm:varLst>
                                              <dgm:bulletEnabled val="1"/>
                                            </dgm:varLst>
                                            <dgm:alg type="tx"/>
                                            <dgm:shape xmlns:r="http://schemas.openxmlformats.org/officeDocument/2006/relationships" rot="4" type="roundRect" r:blip="">
                                              <dgm:adjLst/>
                                            </dgm:shape>
                                            <dgm:presOf axis="ch ch desOrSelf" ptType="node node node" st="1 2 1" cnt="1 1 0"/>
                                            <dgm:constrLst>
                                              <dgm:constr type="lMarg" refType="primFontSz" fact="0.3"/>
                                              <dgm:constr type="rMarg" refType="primFontSz" fact="0.3"/>
                                              <dgm:constr type="tMarg" refType="primFontSz" fact="0.3"/>
                                              <dgm:constr type="bMarg" refType="primFontSz" fact="0.3"/>
                                            </dgm:constrLst>
                                            <dgm:ruleLst>
                                              <dgm:rule type="primFontSz" val="5" fact="NaN" max="NaN"/>
                                            </dgm:ruleLst>
                                          </dgm:layoutNode>
                                          <dgm:layoutNode name="left_34_3" styleLbl="node1">
                                            <dgm:varLst>
                                              <dgm:bulletEnabled val="1"/>
                                            </dgm:varLst>
                                            <dgm:alg type="tx"/>
                                            <dgm:shape xmlns:r="http://schemas.openxmlformats.org/officeDocument/2006/relationships" rot="4" type="roundRect" r:blip="">
                                              <dgm:adjLst/>
                                            </dgm:shape>
                                            <dgm:presOf axis="ch ch desOrSelf" ptType="node node node" st="1 3 1" cnt="1 1 0"/>
                                            <dgm:constrLst>
                                              <dgm:constr type="lMarg" refType="primFontSz" fact="0.3"/>
                                              <dgm:constr type="rMarg" refType="primFontSz" fact="0.3"/>
                                              <dgm:constr type="tMarg" refType="primFontSz" fact="0.3"/>
                                              <dgm:constr type="bMarg" refType="primFontSz" fact="0.3"/>
                                            </dgm:constrLst>
                                            <dgm:ruleLst>
                                              <dgm:rule type="primFontSz" val="5" fact="NaN" max="NaN"/>
                                            </dgm:ruleLst>
                                          </dgm:layoutNode>
                                        </dgm:if>
                                        <dgm:else name="Name70"/>
                                      </dgm:choose>
                                    </dgm:else>
                                  </dgm:choose>
                                </dgm:else>
                              </dgm:choose>
                            </dgm:else>
                          </dgm:choose>
                        </dgm:else>
                      </dgm:choose>
                    </dgm:if>
                    <dgm:else name="Name71">
                      <dgm:choose name="Name72">
                        <dgm:if name="Name73" axis="ch ch" ptType="node node" st="1 1" cnt="1 0" func="cnt" op="gte" val="4">
                          <dgm:choose name="Name74">
                            <dgm:if name="Name75" axis="ch ch" ptType="node node" st="2 1" cnt="1 0" func="cnt" op="equ" val="0">
                              <dgm:layoutNode name="balance_40" styleLbl="alignAccFollowNode1">
                                <dgm:varLst>
                                  <dgm:bulletEnabled val="1"/>
                                </dgm:varLst>
                                <dgm:alg type="sp"/>
                                <dgm:shape xmlns:r="http://schemas.openxmlformats.org/officeDocument/2006/relationships" rot="-4" type="rect" r:blip="">
                                  <dgm:adjLst/>
                                </dgm:shape>
                                <dgm:presOf/>
                                <dgm:constrLst/>
                                <dgm:ruleLst/>
                              </dgm:layoutNode>
                              <dgm:layoutNode name="left_40_1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rot="-4" type="roundRect" r:blip="">
                                  <dgm:adjLst/>
                                </dgm:shape>
                                <dgm:presOf axis="ch ch desOrSelf" ptType="node node node" st="1 1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  <dgm:layoutNode name="left_40_2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rot="-4" type="roundRect" r:blip="">
                                  <dgm:adjLst/>
                                </dgm:shape>
                                <dgm:presOf axis="ch ch desOrSelf" ptType="node node node" st="1 2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  <dgm:layoutNode name="left_40_3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rot="-4" type="roundRect" r:blip="">
                                  <dgm:adjLst/>
                                </dgm:shape>
                                <dgm:presOf axis="ch ch desOrSelf" ptType="node node node" st="1 3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  <dgm:layoutNode name="left_40_4" styleLbl="node1">
                                <dgm:varLst>
                                  <dgm:bulletEnabled val="1"/>
                                </dgm:varLst>
                                <dgm:alg type="tx"/>
                                <dgm:shape xmlns:r="http://schemas.openxmlformats.org/officeDocument/2006/relationships" rot="-4" type="roundRect" r:blip="">
                                  <dgm:adjLst/>
                                </dgm:shape>
                                <dgm:presOf axis="ch ch desOrSelf" ptType="node node node" st="1 4 1" cnt="1 1 0"/>
                                <dgm:constrLst>
                                  <dgm:constr type="lMarg" refType="primFontSz" fact="0.3"/>
                                  <dgm:constr type="rMarg" refType="primFontSz" fact="0.3"/>
                                  <dgm:constr type="tMarg" refType="primFontSz" fact="0.3"/>
                                  <dgm:constr type="bMarg" refType="primFontSz" fact="0.3"/>
                                </dgm:constrLst>
                                <dgm:ruleLst>
                                  <dgm:rule type="primFontSz" val="5" fact="NaN" max="NaN"/>
                                </dgm:ruleLst>
                              </dgm:layoutNode>
                            </dgm:if>
                            <dgm:else name="Name76">
                              <dgm:choose name="Name77">
                                <dgm:if name="Name78" axis="ch ch" ptType="node node" st="2 1" cnt="1 0" func="cnt" op="equ" val="1">
                                  <dgm:layoutNode name="balance_41" styleLbl="alignAccFollowNode1">
                                    <dgm:varLst>
                                      <dgm:bulletEnabled val="1"/>
                                    </dgm:varLst>
                                    <dgm:alg type="sp"/>
                                    <dgm:shape xmlns:r="http://schemas.openxmlformats.org/officeDocument/2006/relationships" rot="-4" type="rect" r:blip="">
                                      <dgm:adjLst/>
                                    </dgm:shape>
                                    <dgm:presOf/>
                                    <dgm:constrLst/>
                                    <dgm:ruleLst/>
                                  </dgm:layoutNode>
                                  <dgm:layoutNode name="left_41_1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-4" type="roundRect" r:blip="">
                                      <dgm:adjLst/>
                                    </dgm:shape>
                                    <dgm:presOf axis="ch ch desOrSelf" ptType="node node node" st="1 1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  <dgm:layoutNode name="left_41_2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-4" type="roundRect" r:blip="">
                                      <dgm:adjLst/>
                                    </dgm:shape>
                                    <dgm:presOf axis="ch ch desOrSelf" ptType="node node node" st="1 2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  <dgm:layoutNode name="left_41_3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-4" type="roundRect" r:blip="">
                                      <dgm:adjLst/>
                                    </dgm:shape>
                                    <dgm:presOf axis="ch ch desOrSelf" ptType="node node node" st="1 3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  <dgm:layoutNode name="left_41_4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-4" type="roundRect" r:blip="">
                                      <dgm:adjLst/>
                                    </dgm:shape>
                                    <dgm:presOf axis="ch ch desOrSelf" ptType="node node node" st="1 4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  <dgm:layoutNode name="right_41_1" styleLbl="node1">
                                    <dgm:varLst>
                                      <dgm:bulletEnabled val="1"/>
                                    </dgm:varLst>
                                    <dgm:alg type="tx"/>
                                    <dgm:shape xmlns:r="http://schemas.openxmlformats.org/officeDocument/2006/relationships" rot="-4" type="roundRect" r:blip="">
                                      <dgm:adjLst/>
                                    </dgm:shape>
                                    <dgm:presOf axis="ch ch desOrSelf" ptType="node node node" st="2 1 1" cnt="1 1 0"/>
                                    <dgm:constrLst>
                                      <dgm:constr type="lMarg" refType="primFontSz" fact="0.3"/>
                                      <dgm:constr type="rMarg" refType="primFontSz" fact="0.3"/>
                                      <dgm:constr type="tMarg" refType="primFontSz" fact="0.3"/>
                                      <dgm:constr type="bMarg" refType="primFontSz" fact="0.3"/>
                                    </dgm:constrLst>
                                    <dgm:ruleLst>
                                      <dgm:rule type="primFontSz" val="5" fact="NaN" max="NaN"/>
                                    </dgm:ruleLst>
                                  </dgm:layoutNode>
                                </dgm:if>
                                <dgm:else name="Name79">
                                  <dgm:choose name="Name80">
                                    <dgm:if name="Name81" axis="ch ch" ptType="node node" st="2 1" cnt="1 0" func="cnt" op="equ" val="2">
                                      <dgm:layoutNode name="balance_42" styleLbl="alignAccFollowNode1">
                                        <dgm:varLst>
                                          <dgm:bulletEnabled val="1"/>
                                        </dgm:varLst>
                                        <dgm:alg type="sp"/>
                                        <dgm:shape xmlns:r="http://schemas.openxmlformats.org/officeDocument/2006/relationships" rot="-4" type="rect" r:blip="">
                                          <dgm:adjLst/>
                                        </dgm:shape>
                                        <dgm:presOf/>
                                        <dgm:constrLst/>
                                        <dgm:ruleLst/>
                                      </dgm:layoutNode>
                                      <dgm:layoutNode name="left_42_1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rot="-4" type="roundRect" r:blip="">
                                          <dgm:adjLst/>
                                        </dgm:shape>
                                        <dgm:presOf axis="ch ch desOrSelf" ptType="node node node" st="1 1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  <dgm:layoutNode name="left_42_2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rot="-4" type="roundRect" r:blip="">
                                          <dgm:adjLst/>
                                        </dgm:shape>
                                        <dgm:presOf axis="ch ch desOrSelf" ptType="node node node" st="1 2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  <dgm:layoutNode name="left_42_3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rot="-4" type="roundRect" r:blip="">
                                          <dgm:adjLst/>
                                        </dgm:shape>
                                        <dgm:presOf axis="ch ch desOrSelf" ptType="node node node" st="1 3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  <dgm:layoutNode name="left_42_4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rot="-4" type="roundRect" r:blip="">
                                          <dgm:adjLst/>
                                        </dgm:shape>
                                        <dgm:presOf axis="ch ch desOrSelf" ptType="node node node" st="1 4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  <dgm:layoutNode name="right_42_1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rot="-4" type="roundRect" r:blip="">
                                          <dgm:adjLst/>
                                        </dgm:shape>
                                        <dgm:presOf axis="ch ch desOrSelf" ptType="node node node" st="2 1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  <dgm:layoutNode name="right_42_2" styleLbl="node1">
                                        <dgm:varLst>
                                          <dgm:bulletEnabled val="1"/>
                                        </dgm:varLst>
                                        <dgm:alg type="tx"/>
                                        <dgm:shape xmlns:r="http://schemas.openxmlformats.org/officeDocument/2006/relationships" rot="-4" type="roundRect" r:blip="">
                                          <dgm:adjLst/>
                                        </dgm:shape>
                                        <dgm:presOf axis="ch ch desOrSelf" ptType="node node node" st="2 2 1" cnt="1 1 0"/>
                                        <dgm:constrLst>
                                          <dgm:constr type="lMarg" refType="primFontSz" fact="0.3"/>
                                          <dgm:constr type="rMarg" refType="primFontSz" fact="0.3"/>
                                          <dgm:constr type="tMarg" refType="primFontSz" fact="0.3"/>
                                          <dgm:constr type="bMarg" refType="primFontSz" fact="0.3"/>
                                        </dgm:constrLst>
                                        <dgm:ruleLst>
                                          <dgm:rule type="primFontSz" val="5" fact="NaN" max="NaN"/>
                                        </dgm:ruleLst>
                                      </dgm:layoutNode>
                                    </dgm:if>
                                    <dgm:else name="Name82">
                                      <dgm:choose name="Name83">
                                        <dgm:if name="Name84" axis="ch ch" ptType="node node" st="2 1" cnt="1 0" func="cnt" op="equ" val="3">
                                          <dgm:layoutNode name="balance_43" styleLbl="alignAccFollowNode1">
                                            <dgm:varLst>
                                              <dgm:bulletEnabled val="1"/>
                                            </dgm:varLst>
                                            <dgm:alg type="sp"/>
                                            <dgm:shape xmlns:r="http://schemas.openxmlformats.org/officeDocument/2006/relationships" rot="-4" type="rect" r:blip="">
                                              <dgm:adjLst/>
                                            </dgm:shape>
                                            <dgm:presOf/>
                                            <dgm:constrLst/>
                                            <dgm:ruleLst/>
                                          </dgm:layoutNode>
                                          <dgm:layoutNode name="left_43_1" styleLbl="node1">
                                            <dgm:varLst>
                                              <dgm:bulletEnabled val="1"/>
                                            </dgm:varLst>
                                            <dgm:alg type="tx"/>
                                            <dgm:shape xmlns:r="http://schemas.openxmlformats.org/officeDocument/2006/relationships" rot="-4" type="roundRect" r:blip="">
                                              <dgm:adjLst/>
                                            </dgm:shape>
                                            <dgm:presOf axis="ch ch desOrSelf" ptType="node node node" st="1 1 1" cnt="1 1 0"/>
                                            <dgm:constrLst>
                                              <dgm:constr type="lMarg" refType="primFontSz" fact="0.3"/>
                                              <dgm:constr type="rMarg" refType="primFontSz" fact="0.3"/>
                                              <dgm:constr type="tMarg" refType="primFontSz" fact="0.3"/>
                                              <dgm:constr type="bMarg" refType="primFontSz" fact="0.3"/>
                                            </dgm:constrLst>
                                            <dgm:ruleLst>
                                              <dgm:rule type="primFontSz" val="5" fact="NaN" max="NaN"/>
                                            </dgm:ruleLst>
                                          </dgm:layoutNode>
                                          <dgm:layoutNode name="left_43_2" styleLbl="node1">
                                            <dgm:varLst>
                                              <dgm:bulletEnabled val="1"/>
                                            </dgm:varLst>
                                            <dgm:alg type="tx"/>
                                            <dgm:shape xmlns:r="http://schemas.openxmlformats.org/officeDocument/2006/relationships" rot="-4" type="roundRect" r:blip="">
                                              <dgm:adjLst/>
                                            </dgm:shape>
                                            <dgm:presOf axis="ch ch desOrSelf" ptType="node node node" st="1 2 1" cnt="1 1 0"/>
                                            <dgm:constrLst>
                                              <dgm:constr type="lMarg" refType="primFontSz" fact="0.3"/>
                                              <dgm:constr type="rMarg" refType="primFontSz" fact="0.3"/>
                                              <dgm:constr type="tMarg" refType="primFontSz" fact="0.3"/>
                                              <dgm:constr type="bMarg" refType="primFontSz" fact="0.3"/>
                                            </dgm:constrLst>
                                            <dgm:ruleLst>
                                              <dgm:rule type="primFontSz" val="5" fact="NaN" max="NaN"/>
                                            </dgm:ruleLst>
                                          </dgm:layoutNode>
                                          <dgm:layoutNode name="left_43_3" styleLbl="node1">
                                            <dgm:varLst>
                                              <dgm:bulletEnabled val="1"/>
                                            </dgm:varLst>
                                            <dgm:alg type="tx"/>
                                            <dgm:shape xmlns:r="http://schemas.openxmlformats.org/officeDocument/2006/relationships" rot="-4" type="roundRect" r:blip="">
                                              <dgm:adjLst/>
                                            </dgm:shape>
                                            <dgm:presOf axis="ch ch desOrSelf" ptType="node node node" st="1 3 1" cnt="1 1 0"/>
                                            <dgm:constrLst>
                                              <dgm:constr type="lMarg" refType="primFontSz" fact="0.3"/>
                                              <dgm:constr type="rMarg" refType="primFontSz" fact="0.3"/>
                                              <dgm:constr type="tMarg" refType="primFontSz" fact="0.3"/>
                                              <dgm:constr type="bMarg" refType="primFontSz" fact="0.3"/>
                                            </dgm:constrLst>
                                            <dgm:ruleLst>
                                              <dgm:rule type="primFontSz" val="5" fact="NaN" max="NaN"/>
                                            </dgm:ruleLst>
                                          </dgm:layoutNode>
                                          <dgm:layoutNode name="left_43_4" styleLbl="node1">
                                            <dgm:varLst>
                                              <dgm:bulletEnabled val="1"/>
                                            </dgm:varLst>
                                            <dgm:alg type="tx"/>
                                            <dgm:shape xmlns:r="http://schemas.openxmlformats.org/officeDocument/2006/relationships" rot="-4" type="roundRect" r:blip="">
                                              <dgm:adjLst/>
                                            </dgm:shape>
                                            <dgm:presOf axis="ch ch desOrSelf" ptType="node node node" st="1 4 1" cnt="1 1 0"/>
                                            <dgm:constrLst>
                                              <dgm:constr type="lMarg" refType="primFontSz" fact="0.3"/>
                                              <dgm:constr type="rMarg" refType="primFontSz" fact="0.3"/>
                                              <dgm:constr type="tMarg" refType="primFontSz" fact="0.3"/>
                                              <dgm:constr type="bMarg" refType="primFontSz" fact="0.3"/>
                                            </dgm:constrLst>
                                            <dgm:ruleLst>
                                              <dgm:rule type="primFontSz" val="5" fact="NaN" max="NaN"/>
                                            </dgm:ruleLst>
                                          </dgm:layoutNode>
                                          <dgm:layoutNode name="right_43_1" styleLbl="node1">
                                            <dgm:varLst>
                                              <dgm:bulletEnabled val="1"/>
                                            </dgm:varLst>
                                            <dgm:alg type="tx"/>
                                            <dgm:shape xmlns:r="http://schemas.openxmlformats.org/officeDocument/2006/relationships" rot="-4" type="roundRect" r:blip="">
                                              <dgm:adjLst/>
                                            </dgm:shape>
                                            <dgm:presOf axis="ch ch desOrSelf" ptType="node node node" st="2 1 1" cnt="1 1 0"/>
                                            <dgm:constrLst>
                                              <dgm:constr type="lMarg" refType="primFontSz" fact="0.3"/>
                                              <dgm:constr type="rMarg" refType="primFontSz" fact="0.3"/>
                                              <dgm:constr type="tMarg" refType="primFontSz" fact="0.3"/>
                                              <dgm:constr type="bMarg" refType="primFontSz" fact="0.3"/>
                                            </dgm:constrLst>
                                            <dgm:ruleLst>
                                              <dgm:rule type="primFontSz" val="5" fact="NaN" max="NaN"/>
                                            </dgm:ruleLst>
                                          </dgm:layoutNode>
                                          <dgm:layoutNode name="right_43_2" styleLbl="node1">
                                            <dgm:varLst>
                                              <dgm:bulletEnabled val="1"/>
                                            </dgm:varLst>
                                            <dgm:alg type="tx"/>
                                            <dgm:shape xmlns:r="http://schemas.openxmlformats.org/officeDocument/2006/relationships" rot="-4" type="roundRect" r:blip="">
                                              <dgm:adjLst/>
                                            </dgm:shape>
                                            <dgm:presOf axis="ch ch desOrSelf" ptType="node node node" st="2 2 1" cnt="1 1 0"/>
                                            <dgm:constrLst>
                                              <dgm:constr type="lMarg" refType="primFontSz" fact="0.3"/>
                                              <dgm:constr type="rMarg" refType="primFontSz" fact="0.3"/>
                                              <dgm:constr type="tMarg" refType="primFontSz" fact="0.3"/>
                                              <dgm:constr type="bMarg" refType="primFontSz" fact="0.3"/>
                                            </dgm:constrLst>
                                            <dgm:ruleLst>
                                              <dgm:rule type="primFontSz" val="5" fact="NaN" max="NaN"/>
                                            </dgm:ruleLst>
                                          </dgm:layoutNode>
                                          <dgm:layoutNode name="right_43_3" styleLbl="node1">
                                            <dgm:varLst>
                                              <dgm:bulletEnabled val="1"/>
                                            </dgm:varLst>
                                            <dgm:alg type="tx"/>
                                            <dgm:shape xmlns:r="http://schemas.openxmlformats.org/officeDocument/2006/relationships" rot="-4" type="roundRect" r:blip="">
                                              <dgm:adjLst/>
                                            </dgm:shape>
                                            <dgm:presOf axis="ch ch desOrSelf" ptType="node node node" st="2 3 1" cnt="1 1 0"/>
                                            <dgm:constrLst>
                                              <dgm:constr type="lMarg" refType="primFontSz" fact="0.3"/>
                                              <dgm:constr type="rMarg" refType="primFontSz" fact="0.3"/>
                                              <dgm:constr type="tMarg" refType="primFontSz" fact="0.3"/>
                                              <dgm:constr type="bMarg" refType="primFontSz" fact="0.3"/>
                                            </dgm:constrLst>
                                            <dgm:ruleLst>
                                              <dgm:rule type="primFontSz" val="5" fact="NaN" max="NaN"/>
                                            </dgm:ruleLst>
                                          </dgm:layoutNode>
                                        </dgm:if>
                                        <dgm:else name="Name85">
                                          <dgm:choose name="Name86">
                                            <dgm:if name="Name87" axis="ch ch" ptType="node node" st="2 1" cnt="1 0" func="cnt" op="gte" val="4">
                                              <dgm:layoutNode name="balance_44" styleLbl="alignAccFollowNode1">
                                                <dgm:varLst>
                                                  <dgm:bulletEnabled val="1"/>
                                                </dgm:varLst>
                                                <dgm:alg type="sp"/>
                                                <dgm:shape xmlns:r="http://schemas.openxmlformats.org/officeDocument/2006/relationships" type="rect" r:blip="">
                                                  <dgm:adjLst/>
                                                </dgm:shape>
                                                <dgm:presOf/>
                                                <dgm:constrLst/>
                                                <dgm:ruleLst/>
                                              </dgm:layoutNode>
                                              <dgm:layoutNode name="right_44_1" styleLbl="node1">
                                                <dgm:varLst>
                                                  <dgm:bulletEnabled val="1"/>
                                                </dgm:varLst>
                                                <dgm:alg type="tx"/>
                                                <dgm:shape xmlns:r="http://schemas.openxmlformats.org/officeDocument/2006/relationships" type="roundRect" r:blip="">
                                                  <dgm:adjLst/>
                                                </dgm:shape>
                                                <dgm:presOf axis="ch ch desOrSelf" ptType="node node node" st="2 1 1" cnt="1 1 0"/>
                                                <dgm:constrLst>
                                                  <dgm:constr type="lMarg" refType="primFontSz" fact="0.3"/>
                                                  <dgm:constr type="rMarg" refType="primFontSz" fact="0.3"/>
                                                  <dgm:constr type="tMarg" refType="primFontSz" fact="0.3"/>
                                                  <dgm:constr type="bMarg" refType="primFontSz" fact="0.3"/>
                                                </dgm:constrLst>
                                                <dgm:ruleLst>
                                                  <dgm:rule type="primFontSz" val="5" fact="NaN" max="NaN"/>
                                                </dgm:ruleLst>
                                              </dgm:layoutNode>
                                              <dgm:layoutNode name="right_44_2" styleLbl="node1">
                                                <dgm:varLst>
                                                  <dgm:bulletEnabled val="1"/>
                                                </dgm:varLst>
                                                <dgm:alg type="tx"/>
                                                <dgm:shape xmlns:r="http://schemas.openxmlformats.org/officeDocument/2006/relationships" type="roundRect" r:blip="">
                                                  <dgm:adjLst/>
                                                </dgm:shape>
                                                <dgm:presOf axis="ch ch desOrSelf" ptType="node node node" st="2 2 1" cnt="1 1 0"/>
                                                <dgm:constrLst>
                                                  <dgm:constr type="lMarg" refType="primFontSz" fact="0.3"/>
                                                  <dgm:constr type="rMarg" refType="primFontSz" fact="0.3"/>
                                                  <dgm:constr type="tMarg" refType="primFontSz" fact="0.3"/>
                                                  <dgm:constr type="bMarg" refType="primFontSz" fact="0.3"/>
                                                </dgm:constrLst>
                                                <dgm:ruleLst>
                                                  <dgm:rule type="primFontSz" val="5" fact="NaN" max="NaN"/>
                                                </dgm:ruleLst>
                                              </dgm:layoutNode>
                                              <dgm:layoutNode name="right_44_3" styleLbl="node1">
                                                <dgm:varLst>
                                                  <dgm:bulletEnabled val="1"/>
                                                </dgm:varLst>
                                                <dgm:alg type="tx"/>
                                                <dgm:shape xmlns:r="http://schemas.openxmlformats.org/officeDocument/2006/relationships" type="roundRect" r:blip="">
                                                  <dgm:adjLst/>
                                                </dgm:shape>
                                                <dgm:presOf axis="ch ch desOrSelf" ptType="node node node" st="2 3 1" cnt="1 1 0"/>
                                                <dgm:constrLst>
                                                  <dgm:constr type="lMarg" refType="primFontSz" fact="0.3"/>
                                                  <dgm:constr type="rMarg" refType="primFontSz" fact="0.3"/>
                                                  <dgm:constr type="tMarg" refType="primFontSz" fact="0.3"/>
                                                  <dgm:constr type="bMarg" refType="primFontSz" fact="0.3"/>
                                                </dgm:constrLst>
                                                <dgm:ruleLst>
                                                  <dgm:rule type="primFontSz" val="5" fact="NaN" max="NaN"/>
                                                </dgm:ruleLst>
                                              </dgm:layoutNode>
                                              <dgm:layoutNode name="right_44_4" styleLbl="node1">
                                                <dgm:varLst>
                                                  <dgm:bulletEnabled val="1"/>
                                                </dgm:varLst>
                                                <dgm:alg type="tx"/>
                                                <dgm:shape xmlns:r="http://schemas.openxmlformats.org/officeDocument/2006/relationships" type="roundRect" r:blip="">
                                                  <dgm:adjLst/>
                                                </dgm:shape>
                                                <dgm:presOf axis="ch ch desOrSelf" ptType="node node node" st="2 4 1" cnt="1 1 0"/>
                                                <dgm:constrLst>
                                                  <dgm:constr type="lMarg" refType="primFontSz" fact="0.3"/>
                                                  <dgm:constr type="rMarg" refType="primFontSz" fact="0.3"/>
                                                  <dgm:constr type="tMarg" refType="primFontSz" fact="0.3"/>
                                                  <dgm:constr type="bMarg" refType="primFontSz" fact="0.3"/>
                                                </dgm:constrLst>
                                                <dgm:ruleLst>
                                                  <dgm:rule type="primFontSz" val="5" fact="NaN" max="NaN"/>
                                                </dgm:ruleLst>
                                              </dgm:layoutNode>
                                              <dgm:layoutNode name="left_44_1" styleLbl="node1">
                                                <dgm:varLst>
                                                  <dgm:bulletEnabled val="1"/>
                                                </dgm:varLst>
                                                <dgm:alg type="tx"/>
                                                <dgm:shape xmlns:r="http://schemas.openxmlformats.org/officeDocument/2006/relationships" type="roundRect" r:blip="">
                                                  <dgm:adjLst/>
                                                </dgm:shape>
                                                <dgm:presOf axis="ch ch desOrSelf" ptType="node node node" st="1 1 1" cnt="1 1 0"/>
                                                <dgm:constrLst>
                                                  <dgm:constr type="lMarg" refType="primFontSz" fact="0.3"/>
                                                  <dgm:constr type="rMarg" refType="primFontSz" fact="0.3"/>
                                                  <dgm:constr type="tMarg" refType="primFontSz" fact="0.3"/>
                                                  <dgm:constr type="bMarg" refType="primFontSz" fact="0.3"/>
                                                </dgm:constrLst>
                                                <dgm:ruleLst>
                                                  <dgm:rule type="primFontSz" val="5" fact="NaN" max="NaN"/>
                                                </dgm:ruleLst>
                                              </dgm:layoutNode>
                                              <dgm:layoutNode name="left_44_2" styleLbl="node1">
                                                <dgm:varLst>
                                                  <dgm:bulletEnabled val="1"/>
                                                </dgm:varLst>
                                                <dgm:alg type="tx"/>
                                                <dgm:shape xmlns:r="http://schemas.openxmlformats.org/officeDocument/2006/relationships" type="roundRect" r:blip="">
                                                  <dgm:adjLst/>
                                                </dgm:shape>
                                                <dgm:presOf axis="ch ch desOrSelf" ptType="node node node" st="1 2 1" cnt="1 1 0"/>
                                                <dgm:constrLst>
                                                  <dgm:constr type="lMarg" refType="primFontSz" fact="0.3"/>
                                                  <dgm:constr type="rMarg" refType="primFontSz" fact="0.3"/>
                                                  <dgm:constr type="tMarg" refType="primFontSz" fact="0.3"/>
                                                  <dgm:constr type="bMarg" refType="primFontSz" fact="0.3"/>
                                                </dgm:constrLst>
                                                <dgm:ruleLst>
                                                  <dgm:rule type="primFontSz" val="5" fact="NaN" max="NaN"/>
                                                </dgm:ruleLst>
                                              </dgm:layoutNode>
                                              <dgm:layoutNode name="left_44_3" styleLbl="node1">
                                                <dgm:varLst>
                                                  <dgm:bulletEnabled val="1"/>
                                                </dgm:varLst>
                                                <dgm:alg type="tx"/>
                                                <dgm:shape xmlns:r="http://schemas.openxmlformats.org/officeDocument/2006/relationships" type="roundRect" r:blip="">
                                                  <dgm:adjLst/>
                                                </dgm:shape>
                                                <dgm:presOf axis="ch ch desOrSelf" ptType="node node node" st="1 3 1" cnt="1 1 0"/>
                                                <dgm:constrLst>
                                                  <dgm:constr type="lMarg" refType="primFontSz" fact="0.3"/>
                                                  <dgm:constr type="rMarg" refType="primFontSz" fact="0.3"/>
                                                  <dgm:constr type="tMarg" refType="primFontSz" fact="0.3"/>
                                                  <dgm:constr type="bMarg" refType="primFontSz" fact="0.3"/>
                                                </dgm:constrLst>
                                                <dgm:ruleLst>
                                                  <dgm:rule type="primFontSz" val="5" fact="NaN" max="NaN"/>
                                                </dgm:ruleLst>
                                              </dgm:layoutNode>
                                              <dgm:layoutNode name="left_44_4" styleLbl="node1">
                                                <dgm:varLst>
                                                  <dgm:bulletEnabled val="1"/>
                                                </dgm:varLst>
                                                <dgm:alg type="tx"/>
                                                <dgm:shape xmlns:r="http://schemas.openxmlformats.org/officeDocument/2006/relationships" type="roundRect" r:blip="">
                                                  <dgm:adjLst/>
                                                </dgm:shape>
                                                <dgm:presOf axis="ch ch desOrSelf" ptType="node node node" st="1 4 1" cnt="1 1 0"/>
                                                <dgm:constrLst>
                                                  <dgm:constr type="lMarg" refType="primFontSz" fact="0.3"/>
                                                  <dgm:constr type="rMarg" refType="primFontSz" fact="0.3"/>
                                                  <dgm:constr type="tMarg" refType="primFontSz" fact="0.3"/>
                                                  <dgm:constr type="bMarg" refType="primFontSz" fact="0.3"/>
                                                </dgm:constrLst>
                                                <dgm:ruleLst>
                                                  <dgm:rule type="primFontSz" val="5" fact="NaN" max="NaN"/>
                                                </dgm:ruleLst>
                                              </dgm:layoutNode>
                                            </dgm:if>
                                            <dgm:else name="Name88"/>
                                          </dgm:choose>
                                        </dgm:else>
                                      </dgm:choose>
                                    </dgm:else>
                                  </dgm:choose>
                                </dgm:else>
                              </dgm:choose>
                            </dgm:else>
                          </dgm:choose>
                        </dgm:if>
                        <dgm:else name="Name89"/>
                      </dgm:choose>
                    </dgm:else>
                  </dgm:choose>
                </dgm:else>
              </dgm:choose>
            </dgm:else>
          </dgm:choose>
        </dgm:else>
      </dgm:choose>
    </dgm:layoutNode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pyramid1">
  <dgm:title val=""/>
  <dgm:desc val=""/>
  <dgm:catLst>
    <dgm:cat type="pyramid" pri="1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pyra">
          <dgm:param type="linDir" val="fromB"/>
          <dgm:param type="txDir" val="fromT"/>
          <dgm:param type="pyraAcctPos" val="aft"/>
          <dgm:param type="pyraAcctTxMar" val="step"/>
          <dgm:param type="pyraAcctBkgdNode" val="acctBkgd"/>
          <dgm:param type="pyraAcctTxNode" val="acctTx"/>
          <dgm:param type="pyraLvlNode" val="level"/>
        </dgm:alg>
      </dgm:if>
      <dgm:else name="Name3">
        <dgm:alg type="pyra">
          <dgm:param type="linDir" val="fromB"/>
          <dgm:param type="txDir" val="fromT"/>
          <dgm:param type="pyraAcctPos" val="bef"/>
          <dgm:param type="pyraAcctTxMar" val="step"/>
          <dgm:param type="pyraAcctBkgdNode" val="acctBkgd"/>
          <dgm:param type="pyraAcctTxNode" val="acctTx"/>
          <dgm:param type="pyraLvlNode" val="level"/>
        </dgm:alg>
      </dgm:else>
    </dgm:choose>
    <dgm:shape xmlns:r="http://schemas.openxmlformats.org/officeDocument/2006/relationships" r:blip="">
      <dgm:adjLst/>
    </dgm:shape>
    <dgm:presOf/>
    <dgm:choose name="Name4">
      <dgm:if name="Name5" axis="root des" ptType="all node" func="maxDepth" op="gte" val="2">
        <dgm:constrLst>
          <dgm:constr type="primFontSz" for="des" forName="levelTx" op="equ"/>
          <dgm:constr type="secFontSz" for="des" forName="acctTx" op="equ"/>
          <dgm:constr type="pyraAcctRatio" val="0.32"/>
        </dgm:constrLst>
      </dgm:if>
      <dgm:else name="Name6">
        <dgm:constrLst>
          <dgm:constr type="primFontSz" for="des" forName="levelTx" op="equ"/>
          <dgm:constr type="secFontSz" for="des" forName="acctTx" op="equ"/>
          <dgm:constr type="pyraAcctRatio"/>
        </dgm:constrLst>
      </dgm:else>
    </dgm:choose>
    <dgm:ruleLst/>
    <dgm:forEach name="Name7" axis="ch" ptType="node">
      <dgm:layoutNode name="Name8">
        <dgm:alg type="composite">
          <dgm:param type="horzAlign" val="none"/>
        </dgm:alg>
        <dgm:shape xmlns:r="http://schemas.openxmlformats.org/officeDocument/2006/relationships" r:blip="">
          <dgm:adjLst/>
        </dgm:shape>
        <dgm:presOf/>
        <dgm:choose name="Name9">
          <dgm:if name="Name10" axis="self" ptType="node" func="pos" op="equ" val="1">
            <dgm:constrLst>
              <dgm:constr type="ctrX" for="ch" forName="acctBkgd" val="1"/>
              <dgm:constr type="ctrY" for="ch" forName="acctBkgd" val="1"/>
              <dgm:constr type="w" for="ch" forName="acctBkgd" val="1"/>
              <dgm:constr type="h" for="ch" forName="acctBkgd" val="1"/>
              <dgm:constr type="ctrX" for="ch" forName="acctTx" val="1"/>
              <dgm:constr type="ctrY" for="ch" forName="acctTx" val="1"/>
              <dgm:constr type="w" for="ch" forName="acctTx" val="1"/>
              <dgm:constr type="h" for="ch" forName="acctTx" val="1"/>
              <dgm:constr type="ctrX" for="ch" forName="level" val="1"/>
              <dgm:constr type="ctrY" for="ch" forName="level" val="1"/>
              <dgm:constr type="w" for="ch" forName="level" val="1"/>
              <dgm:constr type="h" for="ch" forName="level" val="1"/>
              <dgm:constr type="ctrX" for="ch" forName="levelTx" refType="ctrX" refFor="ch" refForName="level"/>
              <dgm:constr type="ctrY" for="ch" forName="levelTx" refType="ctrY" refFor="ch" refForName="level"/>
              <dgm:constr type="w" for="ch" forName="levelTx" refType="w" refFor="ch" refForName="level"/>
              <dgm:constr type="h" for="ch" forName="levelTx" refType="h" refFor="ch" refForName="level"/>
            </dgm:constrLst>
          </dgm:if>
          <dgm:else name="Name11">
            <dgm:constrLst>
              <dgm:constr type="ctrX" for="ch" forName="acctBkgd" val="1"/>
              <dgm:constr type="ctrY" for="ch" forName="acctBkgd" val="1"/>
              <dgm:constr type="w" for="ch" forName="acctBkgd" val="1"/>
              <dgm:constr type="h" for="ch" forName="acctBkgd" val="1"/>
              <dgm:constr type="ctrX" for="ch" forName="acctTx" val="1"/>
              <dgm:constr type="ctrY" for="ch" forName="acctTx" val="1"/>
              <dgm:constr type="w" for="ch" forName="acctTx" val="1"/>
              <dgm:constr type="h" for="ch" forName="acctTx" val="1"/>
              <dgm:constr type="ctrX" for="ch" forName="level" val="1"/>
              <dgm:constr type="ctrY" for="ch" forName="level" val="1"/>
              <dgm:constr type="w" for="ch" forName="level" val="1"/>
              <dgm:constr type="h" for="ch" forName="level" val="1"/>
              <dgm:constr type="ctrX" for="ch" forName="levelTx" refType="ctrX" refFor="ch" refForName="level"/>
              <dgm:constr type="ctrY" for="ch" forName="levelTx" refType="ctrY" refFor="ch" refForName="level"/>
              <dgm:constr type="w" for="ch" forName="levelTx" refType="w" refFor="ch" refForName="level" fact="0.65"/>
              <dgm:constr type="h" for="ch" forName="levelTx" refType="h" refFor="ch" refForName="level"/>
            </dgm:constrLst>
          </dgm:else>
        </dgm:choose>
        <dgm:ruleLst/>
        <dgm:choose name="Name12">
          <dgm:if name="Name13" axis="ch" ptType="node" func="cnt" op="gte" val="1">
            <dgm:layoutNode name="acctBkgd" styleLbl="alignAcc1">
              <dgm:alg type="sp"/>
              <dgm:shape xmlns:r="http://schemas.openxmlformats.org/officeDocument/2006/relationships" type="nonIsoscelesTrapezoid" r:blip="">
                <dgm:adjLst/>
              </dgm:shape>
              <dgm:presOf axis="des" ptType="node"/>
              <dgm:constrLst/>
              <dgm:ruleLst/>
            </dgm:layoutNode>
            <dgm:layoutNode name="acctTx" styleLbl="alignAcc1">
              <dgm:varLst>
                <dgm:bulletEnabled val="1"/>
              </dgm:varLst>
              <dgm:alg type="tx">
                <dgm:param type="stBulletLvl" val="1"/>
                <dgm:param type="txAnchorVertCh" val="mid"/>
              </dgm:alg>
              <dgm:shape xmlns:r="http://schemas.openxmlformats.org/officeDocument/2006/relationships" type="nonIsoscelesTrapezoid" r:blip="" hideGeom="1">
                <dgm:adjLst/>
              </dgm:shape>
              <dgm:presOf axis="des" ptType="node"/>
              <dgm:constrLst>
                <dgm:constr type="secFontSz" val="65"/>
                <dgm:constr type="primFontSz" refType="secFontSz"/>
                <dgm:constr type="tMarg" refType="secFontSz" fact="0.3"/>
                <dgm:constr type="bMarg" refType="secFontSz" fact="0.3"/>
                <dgm:constr type="lMarg" refType="secFontSz" fact="0.3"/>
                <dgm:constr type="rMarg" refType="secFontSz" fact="0.3"/>
              </dgm:constrLst>
              <dgm:ruleLst>
                <dgm:rule type="secFontSz" val="5" fact="NaN" max="NaN"/>
              </dgm:ruleLst>
            </dgm:layoutNode>
          </dgm:if>
          <dgm:else name="Name14"/>
        </dgm:choose>
        <dgm:layoutNode name="level">
          <dgm:varLst>
            <dgm:chMax val="1"/>
            <dgm:bulletEnabled val="1"/>
          </dgm:varLst>
          <dgm:alg type="sp"/>
          <dgm:shape xmlns:r="http://schemas.openxmlformats.org/officeDocument/2006/relationships" type="trapezoid" r:blip="">
            <dgm:adjLst/>
          </dgm:shape>
          <dgm:presOf axis="self"/>
          <dgm:constrLst>
            <dgm:constr type="h" val="500"/>
            <dgm:constr type="w" val="1"/>
          </dgm:constrLst>
          <dgm:ruleLst/>
        </dgm:layoutNode>
        <dgm:layoutNode name="levelTx" styleLbl="revTx">
          <dgm:varLst>
            <dgm:chMax val="1"/>
            <dgm:bulletEnabled val="1"/>
          </dgm:varLst>
          <dgm:alg type="tx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tMarg" refType="primFontSz" fact="0.1"/>
            <dgm:constr type="bMarg" refType="primFontSz" fact="0.1"/>
            <dgm:constr type="lMarg" refType="primFontSz" fact="0.1"/>
            <dgm:constr type="rMarg" refType="primFontSz" fact="0.1"/>
            <dgm:constr type="primFontSz" val="65"/>
          </dgm:constrLst>
          <dgm:ruleLst>
            <dgm:rule type="primFontSz" val="5" fact="NaN" max="NaN"/>
          </dgm:ruleLst>
        </dgm:layoutNode>
      </dgm:layoutNode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9/3/layout/IncreasingArrowsProcess">
  <dgm:title val=""/>
  <dgm:desc val=""/>
  <dgm:catLst>
    <dgm:cat type="process" pri="5500"/>
  </dgm:catLst>
  <dgm:sampData>
    <dgm:dataModel>
      <dgm:ptLst>
        <dgm:pt modelId="0" type="doc"/>
        <dgm:pt modelId="10">
          <dgm:prSet phldr="1"/>
        </dgm:pt>
        <dgm:pt modelId="11">
          <dgm:prSet phldr="1"/>
        </dgm:pt>
        <dgm:pt modelId="20">
          <dgm:prSet phldr="1"/>
        </dgm:pt>
        <dgm:pt modelId="21">
          <dgm:prSet phldr="1"/>
        </dgm:pt>
        <dgm:pt modelId="30">
          <dgm:prSet phldr="1"/>
        </dgm:pt>
        <dgm:pt modelId="31">
          <dgm:prSet phldr="1"/>
        </dgm:pt>
      </dgm:ptLst>
      <dgm:cxnLst>
        <dgm:cxn modelId="40" srcId="0" destId="10" srcOrd="0" destOrd="0"/>
        <dgm:cxn modelId="12" srcId="10" destId="11" srcOrd="0" destOrd="0"/>
        <dgm:cxn modelId="50" srcId="0" destId="20" srcOrd="1" destOrd="0"/>
        <dgm:cxn modelId="22" srcId="20" destId="21" srcOrd="0" destOrd="0"/>
        <dgm:cxn modelId="60" srcId="0" destId="30" srcOrd="2" destOrd="0"/>
        <dgm:cxn modelId="32" srcId="30" destId="31" srcOrd="0" destOrd="0"/>
      </dgm:cxnLst>
      <dgm:bg/>
      <dgm:whole/>
    </dgm:dataModel>
  </dgm:sampData>
  <dgm:styleData>
    <dgm:dataModel>
      <dgm:ptLst>
        <dgm:pt modelId="0" type="doc"/>
        <dgm:pt modelId="10">
          <dgm:prSet phldr="1"/>
        </dgm:pt>
        <dgm:pt modelId="11">
          <dgm:prSet phldr="1"/>
        </dgm:pt>
        <dgm:pt modelId="20">
          <dgm:prSet phldr="1"/>
        </dgm:pt>
        <dgm:pt modelId="21">
          <dgm:prSet phldr="1"/>
        </dgm:pt>
      </dgm:ptLst>
      <dgm:cxnLst>
        <dgm:cxn modelId="40" srcId="0" destId="10" srcOrd="0" destOrd="0"/>
        <dgm:cxn modelId="12" srcId="10" destId="11" srcOrd="0" destOrd="0"/>
        <dgm:cxn modelId="50" srcId="0" destId="20" srcOrd="1" destOrd="0"/>
        <dgm:cxn modelId="22" srcId="20" destId="21" srcOrd="0" destOrd="0"/>
      </dgm:cxnLst>
      <dgm:bg/>
      <dgm:whole/>
    </dgm:dataModel>
  </dgm:styleData>
  <dgm:clrData>
    <dgm:dataModel>
      <dgm:ptLst>
        <dgm:pt modelId="0" type="doc"/>
        <dgm:pt modelId="10">
          <dgm:prSet phldr="1"/>
        </dgm:pt>
        <dgm:pt modelId="11">
          <dgm:prSet phldr="1"/>
        </dgm:pt>
        <dgm:pt modelId="20">
          <dgm:prSet phldr="1"/>
        </dgm:pt>
        <dgm:pt modelId="21">
          <dgm:prSet phldr="1"/>
        </dgm:pt>
        <dgm:pt modelId="30">
          <dgm:prSet phldr="1"/>
        </dgm:pt>
        <dgm:pt modelId="31">
          <dgm:prSet phldr="1"/>
        </dgm:pt>
      </dgm:ptLst>
      <dgm:cxnLst>
        <dgm:cxn modelId="40" srcId="0" destId="10" srcOrd="0" destOrd="0"/>
        <dgm:cxn modelId="12" srcId="10" destId="11" srcOrd="0" destOrd="0"/>
        <dgm:cxn modelId="50" srcId="0" destId="20" srcOrd="1" destOrd="0"/>
        <dgm:cxn modelId="22" srcId="20" destId="21" srcOrd="0" destOrd="0"/>
        <dgm:cxn modelId="60" srcId="0" destId="30" srcOrd="2" destOrd="0"/>
        <dgm:cxn modelId="32" srcId="30" destId="31" srcOrd="0" destOrd="0"/>
      </dgm:cxnLst>
      <dgm:bg/>
      <dgm:whole/>
    </dgm:dataModel>
  </dgm:clrData>
  <dgm:layoutNode name="Name0">
    <dgm:varLst>
      <dgm:chMax val="5"/>
      <dgm:chPref val="5"/>
      <dgm:dir/>
      <dgm:animLvl val="lvl"/>
    </dgm:varLst>
    <dgm:shape xmlns:r="http://schemas.openxmlformats.org/officeDocument/2006/relationships" r:blip="">
      <dgm:adjLst/>
    </dgm:shape>
    <dgm:choose name="Name1">
      <dgm:if name="Name2" axis="ch" ptType="node" func="cnt" op="equ" val="1">
        <dgm:choose name="Name3">
          <dgm:if name="Name4" axis="ch ch" ptType="node node" func="cnt" op="equ" val="0">
            <dgm:alg type="composite">
              <dgm:param type="ar" val="6.8662"/>
            </dgm:alg>
            <dgm:choose name="Name5">
              <dgm:if name="Name6" func="var" arg="dir" op="equ" val="norm">
                <dgm:constrLst>
                  <dgm:constr type="primFontSz" for="des" forName="parentText1" val="65"/>
                  <dgm:constr type="l" for="ch" forName="parentText1" refType="w" fact="0"/>
                  <dgm:constr type="t" for="ch" forName="parentText1" refType="h" fact="0"/>
                  <dgm:constr type="w" for="ch" forName="parentText1" refType="w"/>
                  <dgm:constr type="h" for="ch" forName="parentText1" refType="h"/>
                </dgm:constrLst>
              </dgm:if>
              <dgm:else name="Name7">
                <dgm:constrLst>
                  <dgm:constr type="primFontSz" for="des" forName="parentText1" val="65"/>
                  <dgm:constr type="l" for="ch" forName="parentText1" refType="w" fact="0"/>
                  <dgm:constr type="t" for="ch" forName="parentText1" refType="h" fact="0"/>
                  <dgm:constr type="w" for="ch" forName="parentText1" refType="w"/>
                  <dgm:constr type="h" for="ch" forName="parentText1" refType="h"/>
                </dgm:constrLst>
              </dgm:else>
            </dgm:choose>
          </dgm:if>
          <dgm:else name="Name8">
            <dgm:alg type="composite">
              <dgm:param type="ar" val="1.9864"/>
            </dgm:alg>
            <dgm:choose name="Name9">
              <dgm:if name="Name10" func="var" arg="dir" op="equ" val="norm">
                <dgm:constrLst>
                  <dgm:constr type="primFontSz" for="des" forName="childText1" val="65"/>
                  <dgm:constr type="primFontSz" for="des" forName="parentText1" val="65"/>
                  <dgm:constr type="primFontSz" for="des" forName="childText1" refType="primFontSz" refFor="des" refForName="parentText1" op="lte"/>
                  <dgm:constr type="l" for="ch" forName="parentText1" refType="w" fact="0"/>
                  <dgm:constr type="t" for="ch" forName="parentText1" refType="h" fact="0"/>
                  <dgm:constr type="w" for="ch" forName="parentText1" refType="w"/>
                  <dgm:constr type="h" for="ch" forName="parentText1" refType="h" fact="0.2893"/>
                  <dgm:constr type="l" for="ch" forName="childText1" refType="w" fact="0"/>
                  <dgm:constr type="t" for="ch" forName="childText1" refType="h" fact="0.224"/>
                  <dgm:constr type="w" for="ch" forName="childText1" refType="w" fact="0.9241"/>
                  <dgm:constr type="h" for="ch" forName="childText1" refType="h" fact="0.776"/>
                </dgm:constrLst>
              </dgm:if>
              <dgm:else name="Name11">
                <dgm:constrLst>
                  <dgm:constr type="primFontSz" for="des" forName="childText1" val="65"/>
                  <dgm:constr type="primFontSz" for="des" forName="parentText1" val="65"/>
                  <dgm:constr type="primFontSz" for="des" forName="childText1" refType="primFontSz" refFor="des" refForName="parentText1" op="lte"/>
                  <dgm:constr type="l" for="ch" forName="parentText1" refType="w" fact="0"/>
                  <dgm:constr type="t" for="ch" forName="parentText1" refType="h" fact="0"/>
                  <dgm:constr type="w" for="ch" forName="parentText1" refType="w"/>
                  <dgm:constr type="h" for="ch" forName="parentText1" refType="h" fact="0.2893"/>
                  <dgm:constr type="l" for="ch" forName="childText1" refType="w" fact="0.076"/>
                  <dgm:constr type="t" for="ch" forName="childText1" refType="h" fact="0.224"/>
                  <dgm:constr type="w" for="ch" forName="childText1" refType="w" fact="0.9241"/>
                  <dgm:constr type="h" for="ch" forName="childText1" refType="h" fact="0.776"/>
                </dgm:constrLst>
              </dgm:else>
            </dgm:choose>
          </dgm:else>
        </dgm:choose>
      </dgm:if>
      <dgm:if name="Name12" axis="ch" ptType="node" func="cnt" op="equ" val="2">
        <dgm:choose name="Name13">
          <dgm:if name="Name14" axis="ch ch" ptType="node node" func="cnt" op="equ" val="0">
            <dgm:alg type="composite">
              <dgm:param type="ar" val="5.1498"/>
            </dgm:alg>
            <dgm:choose name="Name15">
              <dgm:if name="Name16" func="var" arg="dir" op="equ" val="norm">
                <dgm:constrLst>
                  <dgm:constr type="primFontSz" for="des" forName="parentText1" val="65"/>
                  <dgm:constr type="primFontSz" for="des" forName="parentText2" refType="primFontSz" refFor="des" refForName="parentText1" op="equ"/>
                  <dgm:constr type="l" for="ch" forName="parentText1" refType="w" fact="0"/>
                  <dgm:constr type="t" for="ch" forName="parentText1" refType="h" fact="0"/>
                  <dgm:constr type="w" for="ch" forName="parentText1" refType="w"/>
                  <dgm:constr type="h" for="ch" forName="parentText1" refType="h" fact="0.7501"/>
                  <dgm:constr type="l" for="ch" forName="parentText2" refType="w" fact="0.462"/>
                  <dgm:constr type="t" for="ch" forName="parentText2" refType="h" fact="0.2499"/>
                  <dgm:constr type="w" for="ch" forName="parentText2" refType="w" fact="0.538"/>
                  <dgm:constr type="h" for="ch" forName="parentText2" refType="h" fact="0.7501"/>
                </dgm:constrLst>
              </dgm:if>
              <dgm:else name="Name17">
                <dgm:constrLst>
                  <dgm:constr type="primFontSz" for="des" forName="parentText1" val="65"/>
                  <dgm:constr type="primFontSz" for="des" forName="parentText2" refType="primFontSz" refFor="des" refForName="parentText1" op="equ"/>
                  <dgm:constr type="l" for="ch" forName="parentText1" refType="w" fact="0"/>
                  <dgm:constr type="t" for="ch" forName="parentText1" refType="h" fact="0"/>
                  <dgm:constr type="w" for="ch" forName="parentText1" refType="w"/>
                  <dgm:constr type="h" for="ch" forName="parentText1" refType="h" fact="0.7501"/>
                  <dgm:constr type="l" for="ch" forName="parentText2" refType="w" fact="0"/>
                  <dgm:constr type="t" for="ch" forName="parentText2" refType="h" fact="0.2499"/>
                  <dgm:constr type="w" for="ch" forName="parentText2" refType="w" fact="0.538"/>
                  <dgm:constr type="h" for="ch" forName="parentText2" refType="h" fact="0.7501"/>
                </dgm:constrLst>
              </dgm:else>
            </dgm:choose>
          </dgm:if>
          <dgm:else name="Name18">
            <dgm:alg type="composite">
              <dgm:param type="ar" val="2.0563"/>
            </dgm:alg>
            <dgm:choose name="Name19">
              <dgm:if name="Name20" func="var" arg="dir" op="equ" val="norm">
                <dgm:constrLst>
                  <dgm:constr type="primFontSz" for="des" forName="childText1" val="65"/>
                  <dgm:constr type="primFontSz" for="des" forName="parentText1" val="65"/>
                  <dgm:constr type="primFontSz" for="des" forName="childText1" refType="primFontSz" refFor="des" refForName="parentText1" op="lte"/>
                  <dgm:constr type="primFontSz" for="des" forName="childText2" refType="primFontSz" refFor="des" refForName="parentText1" op="lte"/>
                  <dgm:constr type="primFontSz" for="des" forName="childText1" refType="primFontSz" refFor="des" refForName="parentText2" op="lte"/>
                  <dgm:constr type="primFontSz" for="des" forName="childText2" refType="primFontSz" refFor="des" refForName="parentText2" op="lte"/>
                  <dgm:constr type="primFontSz" for="des" forName="parentText2" refType="primFontSz" refFor="des" refForName="parentText1" op="equ"/>
                  <dgm:constr type="primFontSz" for="des" forName="childText2" refType="primFontSz" refFor="des" refForName="childText1" op="equ"/>
                  <dgm:constr type="l" for="ch" forName="parentText1" refType="w" fact="0"/>
                  <dgm:constr type="t" for="ch" forName="parentText1" refType="h" fact="0"/>
                  <dgm:constr type="w" for="ch" forName="parentText1" refType="w"/>
                  <dgm:constr type="h" for="ch" forName="parentText1" refType="h" fact="0.2995"/>
                  <dgm:constr type="l" for="ch" forName="parentText2" refType="w" fact="0.462"/>
                  <dgm:constr type="t" for="ch" forName="parentText2" refType="h" fact="0.0998"/>
                  <dgm:constr type="w" for="ch" forName="parentText2" refType="w" fact="0.538"/>
                  <dgm:constr type="h" for="ch" forName="parentText2" refType="h" fact="0.2995"/>
                  <dgm:constr type="l" for="ch" forName="childText1" refType="w" fact="0"/>
                  <dgm:constr type="t" for="ch" forName="childText1" refType="h" fact="0.2317"/>
                  <dgm:constr type="w" for="ch" forName="childText1" refType="w" fact="0.462"/>
                  <dgm:constr type="h" for="ch" forName="childText1" refType="h" fact="0.6685"/>
                  <dgm:constr type="l" for="ch" forName="childText2" refType="w" fact="0.462"/>
                  <dgm:constr type="t" for="ch" forName="childText2" refType="h" fact="0.3315"/>
                  <dgm:constr type="w" for="ch" forName="childText2" refType="w" fact="0.462"/>
                  <dgm:constr type="h" for="ch" forName="childText2" refType="h" fact="0.6685"/>
                </dgm:constrLst>
              </dgm:if>
              <dgm:else name="Name21">
                <dgm:constrLst>
                  <dgm:constr type="primFontSz" for="des" forName="childText1" val="65"/>
                  <dgm:constr type="primFontSz" for="des" forName="parentText1" val="65"/>
                  <dgm:constr type="primFontSz" for="des" forName="childText1" refType="primFontSz" refFor="des" refForName="parentText1" op="lte"/>
                  <dgm:constr type="primFontSz" for="des" forName="childText2" refType="primFontSz" refFor="des" refForName="parentText1" op="lte"/>
                  <dgm:constr type="primFontSz" for="des" forName="childText1" refType="primFontSz" refFor="des" refForName="parentText2" op="lte"/>
                  <dgm:constr type="primFontSz" for="des" forName="childText2" refType="primFontSz" refFor="des" refForName="parentText2" op="lte"/>
                  <dgm:constr type="primFontSz" for="des" forName="parentText2" refType="primFontSz" refFor="des" refForName="parentText1" op="equ"/>
                  <dgm:constr type="primFontSz" for="des" forName="childText2" refType="primFontSz" refFor="des" refForName="childText1" op="equ"/>
                  <dgm:constr type="l" for="ch" forName="parentText1" refType="w" fact="0"/>
                  <dgm:constr type="t" for="ch" forName="parentText1" refType="h" fact="0"/>
                  <dgm:constr type="w" for="ch" forName="parentText1" refType="w"/>
                  <dgm:constr type="h" for="ch" forName="parentText1" refType="h" fact="0.2995"/>
                  <dgm:constr type="l" for="ch" forName="parentText2" refType="w" fact="0"/>
                  <dgm:constr type="t" for="ch" forName="parentText2" refType="h" fact="0.0998"/>
                  <dgm:constr type="w" for="ch" forName="parentText2" refType="w" fact="0.538"/>
                  <dgm:constr type="h" for="ch" forName="parentText2" refType="h" fact="0.2995"/>
                  <dgm:constr type="l" for="ch" forName="childText1" refType="w" fact="0.538"/>
                  <dgm:constr type="t" for="ch" forName="childText1" refType="h" fact="0.2317"/>
                  <dgm:constr type="w" for="ch" forName="childText1" refType="w" fact="0.462"/>
                  <dgm:constr type="h" for="ch" forName="childText1" refType="h" fact="0.6685"/>
                  <dgm:constr type="l" for="ch" forName="childText2" refType="w" fact="0.076"/>
                  <dgm:constr type="t" for="ch" forName="childText2" refType="h" fact="0.3315"/>
                  <dgm:constr type="w" for="ch" forName="childText2" refType="w" fact="0.462"/>
                  <dgm:constr type="h" for="ch" forName="childText2" refType="h" fact="0.6685"/>
                </dgm:constrLst>
              </dgm:else>
            </dgm:choose>
          </dgm:else>
        </dgm:choose>
      </dgm:if>
      <dgm:if name="Name22" axis="ch" ptType="node" func="cnt" op="equ" val="3">
        <dgm:choose name="Name23">
          <dgm:if name="Name24" axis="ch ch" ptType="node node" func="cnt" op="equ" val="0">
            <dgm:alg type="composite">
              <dgm:param type="ar" val="4.1198"/>
            </dgm:alg>
            <dgm:choose name="Name25">
              <dgm:if name="Name26" func="var" arg="dir" op="equ" val="norm">
                <dgm:constrLst>
                  <dgm:constr type="primFontSz" for="des" forName="parentText1" val="65"/>
                  <dgm:constr type="primFontSz" for="des" forName="parentText2" refType="primFontSz" refFor="des" refForName="parentText1" op="equ"/>
                  <dgm:constr type="primFontSz" for="des" forName="parentText3" refType="primFontSz" refFor="des" refForName="parentText1" op="equ"/>
                  <dgm:constr type="l" for="ch" forName="parentText1" refType="w" fact="0"/>
                  <dgm:constr type="t" for="ch" forName="parentText1" refType="h" fact="0"/>
                  <dgm:constr type="w" for="ch" forName="parentText1" refType="w"/>
                  <dgm:constr type="h" for="ch" forName="parentText1" refType="h" fact="0.6"/>
                  <dgm:constr type="l" for="ch" forName="parentText2" refType="w" fact="0.308"/>
                  <dgm:constr type="t" for="ch" forName="parentText2" refType="h" fact="0.2"/>
                  <dgm:constr type="w" for="ch" forName="parentText2" refType="w" fact="0.692"/>
                  <dgm:constr type="h" for="ch" forName="parentText2" refType="h" fact="0.6"/>
                  <dgm:constr type="l" for="ch" forName="parentText3" refType="w" fact="0.616"/>
                  <dgm:constr type="t" for="ch" forName="parentText3" refType="h" fact="0.4"/>
                  <dgm:constr type="w" for="ch" forName="parentText3" refType="w" fact="0.384"/>
                  <dgm:constr type="h" for="ch" forName="parentText3" refType="h" fact="0.6"/>
                </dgm:constrLst>
              </dgm:if>
              <dgm:else name="Name27">
                <dgm:constrLst>
                  <dgm:constr type="primFontSz" for="des" forName="parentText1" val="65"/>
                  <dgm:constr type="primFontSz" for="des" forName="parentText2" refType="primFontSz" refFor="des" refForName="parentText1" op="equ"/>
                  <dgm:constr type="primFontSz" for="des" forName="parentText3" refType="primFontSz" refFor="des" refForName="parentText1" op="equ"/>
                  <dgm:constr type="l" for="ch" forName="parentText1" refType="w" fact="0"/>
                  <dgm:constr type="t" for="ch" forName="parentText1" refType="h" fact="0"/>
                  <dgm:constr type="w" for="ch" forName="parentText1" refType="w"/>
                  <dgm:constr type="h" for="ch" forName="parentText1" refType="h" fact="0.6"/>
                  <dgm:constr type="l" for="ch" forName="parentText2" refType="w" fact="0"/>
                  <dgm:constr type="t" for="ch" forName="parentText2" refType="h" fact="0.2"/>
                  <dgm:constr type="w" for="ch" forName="parentText2" refType="w" fact="0.692"/>
                  <dgm:constr type="h" for="ch" forName="parentText2" refType="h" fact="0.6"/>
                  <dgm:constr type="l" for="ch" forName="parentText3" refType="w" fact="0"/>
                  <dgm:constr type="t" for="ch" forName="parentText3" refType="h" fact="0.4"/>
                  <dgm:constr type="w" for="ch" forName="parentText3" refType="w" fact="0.384"/>
                  <dgm:constr type="h" for="ch" forName="parentText3" refType="h" fact="0.6"/>
                </dgm:constrLst>
              </dgm:else>
            </dgm:choose>
          </dgm:if>
          <dgm:else name="Name28">
            <dgm:alg type="composite">
              <dgm:param type="ar" val="2.0702"/>
            </dgm:alg>
            <dgm:choose name="Name29">
              <dgm:if name="Name30" func="var" arg="dir" op="equ" val="norm">
                <dgm:constrLst>
                  <dgm:constr type="primFontSz" for="des" forName="childText1" val="65"/>
                  <dgm:constr type="primFontSz" for="des" forName="parentText1" val="65"/>
                  <dgm:constr type="primFontSz" for="des" forName="childText1" refType="primFontSz" refFor="des" refForName="parentText1" op="lte"/>
                  <dgm:constr type="primFontSz" for="des" forName="childText2" refType="primFontSz" refFor="des" refForName="parentText1" op="lte"/>
                  <dgm:constr type="primFontSz" for="des" forName="childText3" refType="primFontSz" refFor="des" refForName="parentText1" op="lte"/>
                  <dgm:constr type="primFontSz" for="des" forName="childText1" refType="primFontSz" refFor="des" refForName="parentText2" op="lte"/>
                  <dgm:constr type="primFontSz" for="des" forName="childText2" refType="primFontSz" refFor="des" refForName="parentText2" op="lte"/>
                  <dgm:constr type="primFontSz" for="des" forName="childText3" refType="primFontSz" refFor="des" refForName="parentText2" op="lte"/>
                  <dgm:constr type="primFontSz" for="des" forName="childText1" refType="primFontSz" refFor="des" refForName="parentText3" op="lte"/>
                  <dgm:constr type="primFontSz" for="des" forName="childText2" refType="primFontSz" refFor="des" refForName="parentText3" op="lte"/>
                  <dgm:constr type="primFontSz" for="des" forName="childText3" refType="primFontSz" refFor="des" refForName="parentText3" op="lte"/>
                  <dgm:constr type="primFontSz" for="des" forName="parentText2" refType="primFontSz" refFor="des" refForName="parentText1" op="equ"/>
                  <dgm:constr type="primFontSz" for="des" forName="parentText3" refType="primFontSz" refFor="des" refForName="parentText1" op="equ"/>
                  <dgm:constr type="primFontSz" for="des" forName="childText2" refType="primFontSz" refFor="des" refForName="childText1" op="equ"/>
                  <dgm:constr type="primFontSz" for="des" forName="childText3" refType="primFontSz" refFor="des" refForName="childText1" op="equ"/>
                  <dgm:constr type="l" for="ch" forName="childText1" refType="w" fact="0"/>
                  <dgm:constr type="t" for="ch" forName="childText1" refType="h" fact="0.2325"/>
                  <dgm:constr type="w" for="ch" forName="childText1" refType="w" fact="0.308"/>
                  <dgm:constr type="h" for="ch" forName="childText1" refType="h" fact="0.5808"/>
                  <dgm:constr type="l" for="ch" forName="childText2" refType="w" fact="0.308"/>
                  <dgm:constr type="t" for="ch" forName="childText2" refType="h" fact="0.333"/>
                  <dgm:constr type="w" for="ch" forName="childText2" refType="w" fact="0.308"/>
                  <dgm:constr type="h" for="ch" forName="childText2" refType="h" fact="0.5808"/>
                  <dgm:constr type="l" for="ch" forName="childText3" refType="w" fact="0.616"/>
                  <dgm:constr type="t" for="ch" forName="childText3" refType="h" fact="0.4335"/>
                  <dgm:constr type="w" for="ch" forName="childText3" refType="w" fact="0.308"/>
                  <dgm:constr type="h" for="ch" forName="childText3" refType="h" fact="0.5723"/>
                  <dgm:constr type="l" for="ch" forName="parentText1" refType="w" fact="0"/>
                  <dgm:constr type="t" for="ch" forName="parentText1" refType="h" fact="0"/>
                  <dgm:constr type="w" for="ch" forName="parentText1" refType="w"/>
                  <dgm:constr type="h" for="ch" forName="parentText1" refType="h" fact="0.3015"/>
                  <dgm:constr type="l" for="ch" forName="parentText2" refType="w" fact="0.308"/>
                  <dgm:constr type="t" for="ch" forName="parentText2" refType="h" fact="0.1005"/>
                  <dgm:constr type="w" for="ch" forName="parentText2" refType="w" fact="0.692"/>
                  <dgm:constr type="h" for="ch" forName="parentText2" refType="h" fact="0.3015"/>
                  <dgm:constr type="l" for="ch" forName="parentText3" refType="w" fact="0.616"/>
                  <dgm:constr type="t" for="ch" forName="parentText3" refType="h" fact="0.201"/>
                  <dgm:constr type="w" for="ch" forName="parentText3" refType="w" fact="0.384"/>
                  <dgm:constr type="h" for="ch" forName="parentText3" refType="h" fact="0.3015"/>
                </dgm:constrLst>
              </dgm:if>
              <dgm:else name="Name31">
                <dgm:constrLst>
                  <dgm:constr type="primFontSz" for="des" forName="childText1" val="65"/>
                  <dgm:constr type="primFontSz" for="des" forName="parentText1" val="65"/>
                  <dgm:constr type="primFontSz" for="des" forName="childText1" refType="primFontSz" refFor="des" refForName="parentText1" op="lte"/>
                  <dgm:constr type="primFontSz" for="des" forName="childText2" refType="primFontSz" refFor="des" refForName="parentText1" op="lte"/>
                  <dgm:constr type="primFontSz" for="des" forName="childText3" refType="primFontSz" refFor="des" refForName="parentText1" op="lte"/>
                  <dgm:constr type="primFontSz" for="des" forName="childText1" refType="primFontSz" refFor="des" refForName="parentText2" op="lte"/>
                  <dgm:constr type="primFontSz" for="des" forName="childText2" refType="primFontSz" refFor="des" refForName="parentText2" op="lte"/>
                  <dgm:constr type="primFontSz" for="des" forName="childText3" refType="primFontSz" refFor="des" refForName="parentText2" op="lte"/>
                  <dgm:constr type="primFontSz" for="des" forName="childText1" refType="primFontSz" refFor="des" refForName="parentText3" op="lte"/>
                  <dgm:constr type="primFontSz" for="des" forName="childText2" refType="primFontSz" refFor="des" refForName="parentText3" op="lte"/>
                  <dgm:constr type="primFontSz" for="des" forName="childText3" refType="primFontSz" refFor="des" refForName="parentText3" op="lte"/>
                  <dgm:constr type="primFontSz" for="des" forName="parentText2" refType="primFontSz" refFor="des" refForName="parentText1" op="equ"/>
                  <dgm:constr type="primFontSz" for="des" forName="parentText3" refType="primFontSz" refFor="des" refForName="parentText1" op="equ"/>
                  <dgm:constr type="primFontSz" for="des" forName="childText2" refType="primFontSz" refFor="des" refForName="childText1" op="equ"/>
                  <dgm:constr type="primFontSz" for="des" forName="childText3" refType="primFontSz" refFor="des" refForName="childText1" op="equ"/>
                  <dgm:constr type="l" for="ch" forName="childText1" refType="w" fact="0.692"/>
                  <dgm:constr type="t" for="ch" forName="childText1" refType="h" fact="0.2325"/>
                  <dgm:constr type="w" for="ch" forName="childText1" refType="w" fact="0.308"/>
                  <dgm:constr type="h" for="ch" forName="childText1" refType="h" fact="0.5808"/>
                  <dgm:constr type="l" for="ch" forName="childText2" refType="w" fact="0.384"/>
                  <dgm:constr type="t" for="ch" forName="childText2" refType="h" fact="0.333"/>
                  <dgm:constr type="w" for="ch" forName="childText2" refType="w" fact="0.308"/>
                  <dgm:constr type="h" for="ch" forName="childText2" refType="h" fact="0.5808"/>
                  <dgm:constr type="l" for="ch" forName="childText3" refType="w" fact="0.076"/>
                  <dgm:constr type="t" for="ch" forName="childText3" refType="h" fact="0.4335"/>
                  <dgm:constr type="w" for="ch" forName="childText3" refType="w" fact="0.308"/>
                  <dgm:constr type="h" for="ch" forName="childText3" refType="h" fact="0.5723"/>
                  <dgm:constr type="l" for="ch" forName="parentText1" refType="w" fact="0"/>
                  <dgm:constr type="t" for="ch" forName="parentText1" refType="h" fact="0"/>
                  <dgm:constr type="w" for="ch" forName="parentText1" refType="w"/>
                  <dgm:constr type="h" for="ch" forName="parentText1" refType="h" fact="0.3015"/>
                  <dgm:constr type="l" for="ch" forName="parentText2" refType="w" fact="0"/>
                  <dgm:constr type="t" for="ch" forName="parentText2" refType="h" fact="0.1005"/>
                  <dgm:constr type="w" for="ch" forName="parentText2" refType="w" fact="0.692"/>
                  <dgm:constr type="h" for="ch" forName="parentText2" refType="h" fact="0.3015"/>
                  <dgm:constr type="l" for="ch" forName="parentText3" refType="w" fact="0"/>
                  <dgm:constr type="t" for="ch" forName="parentText3" refType="h" fact="0.201"/>
                  <dgm:constr type="w" for="ch" forName="parentText3" refType="w" fact="0.384"/>
                  <dgm:constr type="h" for="ch" forName="parentText3" refType="h" fact="0.3015"/>
                </dgm:constrLst>
              </dgm:else>
            </dgm:choose>
          </dgm:else>
        </dgm:choose>
      </dgm:if>
      <dgm:if name="Name32" axis="ch" ptType="node" func="cnt" op="equ" val="4">
        <dgm:choose name="Name33">
          <dgm:if name="Name34" axis="ch ch" ptType="node node" func="cnt" op="equ" val="0">
            <dgm:alg type="composite">
              <dgm:param type="ar" val="3.435"/>
            </dgm:alg>
            <dgm:choose name="Name35">
              <dgm:if name="Name36" func="var" arg="dir" op="equ" val="norm">
                <dgm:constrLst>
                  <dgm:constr type="primFontSz" for="des" forName="parentText1" val="65"/>
                  <dgm:constr type="primFontSz" for="des" forName="parentText2" refType="primFontSz" refFor="des" refForName="parentText1" op="equ"/>
                  <dgm:constr type="primFontSz" for="des" forName="parentText3" refType="primFontSz" refFor="des" refForName="parentText1" op="equ"/>
                  <dgm:constr type="primFontSz" for="des" forName="parentText4" refType="primFontSz" refFor="des" refForName="parentText1" op="equ"/>
                  <dgm:constr type="l" for="ch" forName="parentText1" refType="w" fact="0"/>
                  <dgm:constr type="t" for="ch" forName="parentText1" refType="h" fact="0"/>
                  <dgm:constr type="w" for="ch" forName="parentText1" refType="w"/>
                  <dgm:constr type="h" for="ch" forName="parentText1" refType="h" fact="0.5001"/>
                  <dgm:constr type="l" for="ch" forName="parentText2" refType="w" fact="0.2305"/>
                  <dgm:constr type="t" for="ch" forName="parentText2" refType="h" fact="0.1666"/>
                  <dgm:constr type="w" for="ch" forName="parentText2" refType="w" fact="0.7695"/>
                  <dgm:constr type="h" for="ch" forName="parentText2" refType="h" fact="0.5001"/>
                  <dgm:constr type="l" for="ch" forName="parentText3" refType="w" fact="0.461"/>
                  <dgm:constr type="t" for="ch" forName="parentText3" refType="h" fact="0.3333"/>
                  <dgm:constr type="w" for="ch" forName="parentText3" refType="w" fact="0.539"/>
                  <dgm:constr type="h" for="ch" forName="parentText3" refType="h" fact="0.5001"/>
                  <dgm:constr type="l" for="ch" forName="parentText4" refType="w" fact="0.6915"/>
                  <dgm:constr type="t" for="ch" forName="parentText4" refType="h" fact="0.4999"/>
                  <dgm:constr type="w" for="ch" forName="parentText4" refType="w" fact="0.3085"/>
                  <dgm:constr type="h" for="ch" forName="parentText4" refType="h" fact="0.5001"/>
                </dgm:constrLst>
              </dgm:if>
              <dgm:else name="Name37">
                <dgm:constrLst>
                  <dgm:constr type="primFontSz" for="des" forName="parentText1" val="65"/>
                  <dgm:constr type="primFontSz" for="des" forName="parentText2" refType="primFontSz" refFor="des" refForName="parentText1" op="equ"/>
                  <dgm:constr type="primFontSz" for="des" forName="parentText3" refType="primFontSz" refFor="des" refForName="parentText1" op="equ"/>
                  <dgm:constr type="primFontSz" for="des" forName="parentText4" refType="primFontSz" refFor="des" refForName="parentText1" op="equ"/>
                  <dgm:constr type="l" for="ch" forName="parentText1" refType="w" fact="0"/>
                  <dgm:constr type="t" for="ch" forName="parentText1" refType="h" fact="0"/>
                  <dgm:constr type="w" for="ch" forName="parentText1" refType="w"/>
                  <dgm:constr type="h" for="ch" forName="parentText1" refType="h" fact="0.5001"/>
                  <dgm:constr type="l" for="ch" forName="parentText2" refType="w" fact="0"/>
                  <dgm:constr type="t" for="ch" forName="parentText2" refType="h" fact="0.1666"/>
                  <dgm:constr type="w" for="ch" forName="parentText2" refType="w" fact="0.7695"/>
                  <dgm:constr type="h" for="ch" forName="parentText2" refType="h" fact="0.5001"/>
                  <dgm:constr type="l" for="ch" forName="parentText3" refType="w" fact="0"/>
                  <dgm:constr type="t" for="ch" forName="parentText3" refType="h" fact="0.3333"/>
                  <dgm:constr type="w" for="ch" forName="parentText3" refType="w" fact="0.539"/>
                  <dgm:constr type="h" for="ch" forName="parentText3" refType="h" fact="0.5001"/>
                  <dgm:constr type="l" for="ch" forName="parentText4" refType="w" fact="0"/>
                  <dgm:constr type="t" for="ch" forName="parentText4" refType="h" fact="0.4999"/>
                  <dgm:constr type="w" for="ch" forName="parentText4" refType="w" fact="0.3085"/>
                  <dgm:constr type="h" for="ch" forName="parentText4" refType="h" fact="0.5001"/>
                </dgm:constrLst>
              </dgm:else>
            </dgm:choose>
          </dgm:if>
          <dgm:else name="Name38">
            <dgm:alg type="composite">
              <dgm:param type="ar" val="1.9377"/>
            </dgm:alg>
            <dgm:choose name="Name39">
              <dgm:if name="Name40" func="var" arg="dir" op="equ" val="norm">
                <dgm:constrLst>
                  <dgm:constr type="primFontSz" for="des" forName="childText1" val="65"/>
                  <dgm:constr type="primFontSz" for="des" forName="parentText1" val="65"/>
                  <dgm:constr type="primFontSz" for="des" forName="childText1" refType="primFontSz" refFor="des" refForName="parentText1" op="lte"/>
                  <dgm:constr type="primFontSz" for="des" forName="childText2" refType="primFontSz" refFor="des" refForName="parentText1" op="lte"/>
                  <dgm:constr type="primFontSz" for="des" forName="childText3" refType="primFontSz" refFor="des" refForName="parentText1" op="lte"/>
                  <dgm:constr type="primFontSz" for="des" forName="childText4" refType="primFontSz" refFor="des" refForName="parentText1" op="lte"/>
                  <dgm:constr type="primFontSz" for="des" forName="childText1" refType="primFontSz" refFor="des" refForName="parentText2" op="lte"/>
                  <dgm:constr type="primFontSz" for="des" forName="childText2" refType="primFontSz" refFor="des" refForName="parentText2" op="lte"/>
                  <dgm:constr type="primFontSz" for="des" forName="childText3" refType="primFontSz" refFor="des" refForName="parentText2" op="lte"/>
                  <dgm:constr type="primFontSz" for="des" forName="childText4" refType="primFontSz" refFor="des" refForName="parentText2" op="lte"/>
                  <dgm:constr type="primFontSz" for="des" forName="childText1" refType="primFontSz" refFor="des" refForName="parentText3" op="lte"/>
                  <dgm:constr type="primFontSz" for="des" forName="childText2" refType="primFontSz" refFor="des" refForName="parentText3" op="lte"/>
                  <dgm:constr type="primFontSz" for="des" forName="childText3" refType="primFontSz" refFor="des" refForName="parentText3" op="lte"/>
                  <dgm:constr type="primFontSz" for="des" forName="childText4" refType="primFontSz" refFor="des" refForName="parentText3" op="lte"/>
                  <dgm:constr type="primFontSz" for="des" forName="childText1" refType="primFontSz" refFor="des" refForName="parentText4" op="lte"/>
                  <dgm:constr type="primFontSz" for="des" forName="childText2" refType="primFontSz" refFor="des" refForName="parentText4" op="lte"/>
                  <dgm:constr type="primFontSz" for="des" forName="childText3" refType="primFontSz" refFor="des" refForName="parentText4" op="lte"/>
                  <dgm:constr type="primFontSz" for="des" forName="childText4" refType="primFontSz" refFor="des" refForName="parentText4" op="lte"/>
                  <dgm:constr type="primFontSz" for="des" forName="parentText2" refType="primFontSz" refFor="des" refForName="parentText1" op="equ"/>
                  <dgm:constr type="primFontSz" for="des" forName="parentText3" refType="primFontSz" refFor="des" refForName="parentText1" op="equ"/>
                  <dgm:constr type="primFontSz" for="des" forName="parentText4" refType="primFontSz" refFor="des" refForName="parentText1" op="equ"/>
                  <dgm:constr type="primFontSz" for="des" forName="childText2" refType="primFontSz" refFor="des" refForName="childText1" op="equ"/>
                  <dgm:constr type="primFontSz" for="des" forName="childText3" refType="primFontSz" refFor="des" refForName="childText1" op="equ"/>
                  <dgm:constr type="primFontSz" for="des" forName="childText4" refType="primFontSz" refFor="des" refForName="childText1" op="equ"/>
                  <dgm:constr type="l" for="ch" forName="childText1" refType="w" fact="0"/>
                  <dgm:constr type="t" for="ch" forName="childText1" refType="h" fact="0.218"/>
                  <dgm:constr type="w" for="ch" forName="childText1" refType="w" fact="0.2305"/>
                  <dgm:constr type="h" for="ch" forName="childText1" refType="h" fact="0.5218"/>
                  <dgm:constr type="l" for="ch" forName="childText2" refType="w" fact="0.2305"/>
                  <dgm:constr type="t" for="ch" forName="childText2" refType="h" fact="0.312"/>
                  <dgm:constr type="w" for="ch" forName="childText2" refType="w" fact="0.2305"/>
                  <dgm:constr type="h" for="ch" forName="childText2" refType="h" fact="0.5085"/>
                  <dgm:constr type="l" for="ch" forName="childText3" refType="w" fact="0.461"/>
                  <dgm:constr type="t" for="ch" forName="childText3" refType="h" fact="0.406"/>
                  <dgm:constr type="w" for="ch" forName="childText3" refType="w" fact="0.2305"/>
                  <dgm:constr type="h" for="ch" forName="childText3" refType="h" fact="0.5119"/>
                  <dgm:constr type="l" for="ch" forName="childText4" refType="w" fact="0.6915"/>
                  <dgm:constr type="t" for="ch" forName="childText4" refType="h" fact="0.5"/>
                  <dgm:constr type="w" for="ch" forName="childText4" refType="w" fact="0.2326"/>
                  <dgm:constr type="h" for="ch" forName="childText4" refType="h" fact="0.5179"/>
                  <dgm:constr type="l" for="ch" forName="parentText1" refType="w" fact="0"/>
                  <dgm:constr type="t" for="ch" forName="parentText1" refType="h" fact="0"/>
                  <dgm:constr type="w" for="ch" forName="parentText1" refType="w"/>
                  <dgm:constr type="h" for="ch" forName="parentText1" refType="h" fact="0.2821"/>
                  <dgm:constr type="l" for="ch" forName="parentText2" refType="w" fact="0.2305"/>
                  <dgm:constr type="t" for="ch" forName="parentText2" refType="h" fact="0.094"/>
                  <dgm:constr type="w" for="ch" forName="parentText2" refType="w" fact="0.7695"/>
                  <dgm:constr type="h" for="ch" forName="parentText2" refType="h" fact="0.2821"/>
                  <dgm:constr type="l" for="ch" forName="parentText3" refType="w" fact="0.461"/>
                  <dgm:constr type="t" for="ch" forName="parentText3" refType="h" fact="0.188"/>
                  <dgm:constr type="w" for="ch" forName="parentText3" refType="w" fact="0.539"/>
                  <dgm:constr type="h" for="ch" forName="parentText3" refType="h" fact="0.2821"/>
                  <dgm:constr type="l" for="ch" forName="parentText4" refType="w" fact="0.6915"/>
                  <dgm:constr type="t" for="ch" forName="parentText4" refType="h" fact="0.282"/>
                  <dgm:constr type="w" for="ch" forName="parentText4" refType="w" fact="0.3085"/>
                  <dgm:constr type="h" for="ch" forName="parentText4" refType="h" fact="0.2821"/>
                </dgm:constrLst>
              </dgm:if>
              <dgm:else name="Name41">
                <dgm:constrLst>
                  <dgm:constr type="primFontSz" for="des" forName="childText1" val="65"/>
                  <dgm:constr type="primFontSz" for="des" forName="parentText1" val="65"/>
                  <dgm:constr type="primFontSz" for="des" forName="childText1" refType="primFontSz" refFor="des" refForName="parentText1" op="lte"/>
                  <dgm:constr type="primFontSz" for="des" forName="childText2" refType="primFontSz" refFor="des" refForName="parentText1" op="lte"/>
                  <dgm:constr type="primFontSz" for="des" forName="childText3" refType="primFontSz" refFor="des" refForName="parentText1" op="lte"/>
                  <dgm:constr type="primFontSz" for="des" forName="childText4" refType="primFontSz" refFor="des" refForName="parentText1" op="lte"/>
                  <dgm:constr type="primFontSz" for="des" forName="childText1" refType="primFontSz" refFor="des" refForName="parentText2" op="lte"/>
                  <dgm:constr type="primFontSz" for="des" forName="childText2" refType="primFontSz" refFor="des" refForName="parentText2" op="lte"/>
                  <dgm:constr type="primFontSz" for="des" forName="childText3" refType="primFontSz" refFor="des" refForName="parentText2" op="lte"/>
                  <dgm:constr type="primFontSz" for="des" forName="childText4" refType="primFontSz" refFor="des" refForName="parentText2" op="lte"/>
                  <dgm:constr type="primFontSz" for="des" forName="childText1" refType="primFontSz" refFor="des" refForName="parentText3" op="lte"/>
                  <dgm:constr type="primFontSz" for="des" forName="childText2" refType="primFontSz" refFor="des" refForName="parentText3" op="lte"/>
                  <dgm:constr type="primFontSz" for="des" forName="childText3" refType="primFontSz" refFor="des" refForName="parentText3" op="lte"/>
                  <dgm:constr type="primFontSz" for="des" forName="childText4" refType="primFontSz" refFor="des" refForName="parentText3" op="lte"/>
                  <dgm:constr type="primFontSz" for="des" forName="childText1" refType="primFontSz" refFor="des" refForName="parentText4" op="lte"/>
                  <dgm:constr type="primFontSz" for="des" forName="childText2" refType="primFontSz" refFor="des" refForName="parentText4" op="lte"/>
                  <dgm:constr type="primFontSz" for="des" forName="childText3" refType="primFontSz" refFor="des" refForName="parentText4" op="lte"/>
                  <dgm:constr type="primFontSz" for="des" forName="childText4" refType="primFontSz" refFor="des" refForName="parentText4" op="lte"/>
                  <dgm:constr type="primFontSz" for="des" forName="parentText2" refType="primFontSz" refFor="des" refForName="parentText1" op="equ"/>
                  <dgm:constr type="primFontSz" for="des" forName="parentText3" refType="primFontSz" refFor="des" refForName="parentText1" op="equ"/>
                  <dgm:constr type="primFontSz" for="des" forName="parentText4" refType="primFontSz" refFor="des" refForName="parentText1" op="equ"/>
                  <dgm:constr type="primFontSz" for="des" forName="childText2" refType="primFontSz" refFor="des" refForName="childText1" op="equ"/>
                  <dgm:constr type="primFontSz" for="des" forName="childText3" refType="primFontSz" refFor="des" refForName="childText1" op="equ"/>
                  <dgm:constr type="primFontSz" for="des" forName="childText4" refType="primFontSz" refFor="des" refForName="childText1" op="equ"/>
                  <dgm:constr type="l" for="ch" forName="childText1" refType="w" fact="0.7695"/>
                  <dgm:constr type="t" for="ch" forName="childText1" refType="h" fact="0.218"/>
                  <dgm:constr type="w" for="ch" forName="childText1" refType="w" fact="0.2305"/>
                  <dgm:constr type="h" for="ch" forName="childText1" refType="h" fact="0.5218"/>
                  <dgm:constr type="l" for="ch" forName="childText2" refType="w" fact="0.539"/>
                  <dgm:constr type="t" for="ch" forName="childText2" refType="h" fact="0.312"/>
                  <dgm:constr type="w" for="ch" forName="childText2" refType="w" fact="0.2305"/>
                  <dgm:constr type="h" for="ch" forName="childText2" refType="h" fact="0.5085"/>
                  <dgm:constr type="l" for="ch" forName="childText3" refType="w" fact="0.3085"/>
                  <dgm:constr type="t" for="ch" forName="childText3" refType="h" fact="0.406"/>
                  <dgm:constr type="w" for="ch" forName="childText3" refType="w" fact="0.2305"/>
                  <dgm:constr type="h" for="ch" forName="childText3" refType="h" fact="0.5119"/>
                  <dgm:constr type="l" for="ch" forName="childText4" refType="w" fact="0.076"/>
                  <dgm:constr type="t" for="ch" forName="childText4" refType="h" fact="0.5"/>
                  <dgm:constr type="w" for="ch" forName="childText4" refType="w" fact="0.2346"/>
                  <dgm:constr type="h" for="ch" forName="childText4" refType="h" fact="0.5179"/>
                  <dgm:constr type="l" for="ch" forName="parentText1" refType="w" fact="0"/>
                  <dgm:constr type="t" for="ch" forName="parentText1" refType="h" fact="0"/>
                  <dgm:constr type="w" for="ch" forName="parentText1" refType="w"/>
                  <dgm:constr type="h" for="ch" forName="parentText1" refType="h" fact="0.2821"/>
                  <dgm:constr type="l" for="ch" forName="parentText2" refType="w" fact="0"/>
                  <dgm:constr type="t" for="ch" forName="parentText2" refType="h" fact="0.094"/>
                  <dgm:constr type="w" for="ch" forName="parentText2" refType="w" fact="0.7695"/>
                  <dgm:constr type="h" for="ch" forName="parentText2" refType="h" fact="0.2821"/>
                  <dgm:constr type="l" for="ch" forName="parentText3" refType="w" fact="0"/>
                  <dgm:constr type="t" for="ch" forName="parentText3" refType="h" fact="0.188"/>
                  <dgm:constr type="w" for="ch" forName="parentText3" refType="w" fact="0.539"/>
                  <dgm:constr type="h" for="ch" forName="parentText3" refType="h" fact="0.2821"/>
                  <dgm:constr type="l" for="ch" forName="parentText4" refType="w" fact="0"/>
                  <dgm:constr type="t" for="ch" forName="parentText4" refType="h" fact="0.282"/>
                  <dgm:constr type="w" for="ch" forName="parentText4" refType="w" fact="0.3085"/>
                  <dgm:constr type="h" for="ch" forName="parentText4" refType="h" fact="0.2821"/>
                </dgm:constrLst>
              </dgm:else>
            </dgm:choose>
          </dgm:else>
        </dgm:choose>
      </dgm:if>
      <dgm:else name="Name42">
        <dgm:choose name="Name43">
          <dgm:if name="Name44" axis="ch ch" ptType="node node" func="cnt" op="equ" val="0">
            <dgm:alg type="composite">
              <dgm:param type="ar" val="2.9463"/>
            </dgm:alg>
            <dgm:choose name="Name45">
              <dgm:if name="Name46" func="var" arg="dir" op="equ" val="norm">
                <dgm:constrLst>
                  <dgm:constr type="primFontSz" for="des" forName="parentText1" val="65"/>
                  <dgm:constr type="primFontSz" for="des" forName="parentText2" refType="primFontSz" refFor="des" refForName="parentText1" op="equ"/>
                  <dgm:constr type="primFontSz" for="des" forName="parentText3" refType="primFontSz" refFor="des" refForName="parentText1" op="equ"/>
                  <dgm:constr type="primFontSz" for="des" forName="parentText4" refType="primFontSz" refFor="des" refForName="parentText1" op="equ"/>
                  <dgm:constr type="primFontSz" for="des" forName="parentText5" refType="primFontSz" refFor="des" refForName="parentText1" op="equ"/>
                  <dgm:constr type="l" for="ch" forName="parentText1" refType="w" fact="0"/>
                  <dgm:constr type="t" for="ch" forName="parentText1" refType="h" fact="0"/>
                  <dgm:constr type="w" for="ch" forName="parentText1" refType="w"/>
                  <dgm:constr type="h" for="ch" forName="parentText1" refType="h" fact="0.4285"/>
                  <dgm:constr type="l" for="ch" forName="parentText2" refType="w" fact="0.1848"/>
                  <dgm:constr type="t" for="ch" forName="parentText2" refType="h" fact="0.1429"/>
                  <dgm:constr type="w" for="ch" forName="parentText2" refType="w" fact="0.8152"/>
                  <dgm:constr type="h" for="ch" forName="parentText2" refType="h" fact="0.4285"/>
                  <dgm:constr type="l" for="ch" forName="parentText3" refType="w" fact="0.3696"/>
                  <dgm:constr type="t" for="ch" forName="parentText3" refType="h" fact="0.2858"/>
                  <dgm:constr type="w" for="ch" forName="parentText3" refType="w" fact="0.6304"/>
                  <dgm:constr type="h" for="ch" forName="parentText3" refType="h" fact="0.4285"/>
                  <dgm:constr type="l" for="ch" forName="parentText4" refType="w" fact="0.5545"/>
                  <dgm:constr type="t" for="ch" forName="parentText4" refType="h" fact="0.4286"/>
                  <dgm:constr type="w" for="ch" forName="parentText4" refType="w" fact="0.4455"/>
                  <dgm:constr type="h" for="ch" forName="parentText4" refType="h" fact="0.4285"/>
                  <dgm:constr type="l" for="ch" forName="parentText5" refType="w" fact="0.7393"/>
                  <dgm:constr type="t" for="ch" forName="parentText5" refType="h" fact="0.5715"/>
                  <dgm:constr type="w" for="ch" forName="parentText5" refType="w" fact="0.2607"/>
                  <dgm:constr type="h" for="ch" forName="parentText5" refType="h" fact="0.4285"/>
                </dgm:constrLst>
              </dgm:if>
              <dgm:else name="Name47">
                <dgm:constrLst>
                  <dgm:constr type="primFontSz" for="des" forName="parentText1" val="65"/>
                  <dgm:constr type="primFontSz" for="des" forName="parentText2" refType="primFontSz" refFor="des" refForName="parentText1" op="equ"/>
                  <dgm:constr type="primFontSz" for="des" forName="parentText3" refType="primFontSz" refFor="des" refForName="parentText1" op="equ"/>
                  <dgm:constr type="primFontSz" for="des" forName="parentText4" refType="primFontSz" refFor="des" refForName="parentText1" op="equ"/>
                  <dgm:constr type="primFontSz" for="des" forName="parentText5" refType="primFontSz" refFor="des" refForName="parentText1" op="equ"/>
                  <dgm:constr type="l" for="ch" forName="parentText1" refType="w" fact="0"/>
                  <dgm:constr type="t" for="ch" forName="parentText1" refType="h" fact="0"/>
                  <dgm:constr type="w" for="ch" forName="parentText1" refType="w"/>
                  <dgm:constr type="h" for="ch" forName="parentText1" refType="h" fact="0.4285"/>
                  <dgm:constr type="l" for="ch" forName="parentText2" refType="w" fact="0"/>
                  <dgm:constr type="t" for="ch" forName="parentText2" refType="h" fact="0.1429"/>
                  <dgm:constr type="w" for="ch" forName="parentText2" refType="w" fact="0.8152"/>
                  <dgm:constr type="h" for="ch" forName="parentText2" refType="h" fact="0.4285"/>
                  <dgm:constr type="l" for="ch" forName="parentText3" refType="w" fact="0"/>
                  <dgm:constr type="t" for="ch" forName="parentText3" refType="h" fact="0.2858"/>
                  <dgm:constr type="w" for="ch" forName="parentText3" refType="w" fact="0.6304"/>
                  <dgm:constr type="h" for="ch" forName="parentText3" refType="h" fact="0.4285"/>
                  <dgm:constr type="l" for="ch" forName="parentText4" refType="w" fact="0"/>
                  <dgm:constr type="t" for="ch" forName="parentText4" refType="h" fact="0.4286"/>
                  <dgm:constr type="w" for="ch" forName="parentText4" refType="w" fact="0.4455"/>
                  <dgm:constr type="h" for="ch" forName="parentText4" refType="h" fact="0.4285"/>
                  <dgm:constr type="l" for="ch" forName="parentText5" refType="w" fact="0"/>
                  <dgm:constr type="t" for="ch" forName="parentText5" refType="h" fact="0.5715"/>
                  <dgm:constr type="w" for="ch" forName="parentText5" refType="w" fact="0.2607"/>
                  <dgm:constr type="h" for="ch" forName="parentText5" refType="h" fact="0.4285"/>
                </dgm:constrLst>
              </dgm:else>
            </dgm:choose>
          </dgm:if>
          <dgm:else name="Name48">
            <dgm:alg type="composite">
              <dgm:param type="ar" val="1.7837"/>
            </dgm:alg>
            <dgm:choose name="Name49">
              <dgm:if name="Name50" func="var" arg="dir" op="equ" val="norm">
                <dgm:constrLst>
                  <dgm:constr type="primFontSz" for="des" forName="childText1" val="65"/>
                  <dgm:constr type="primFontSz" for="des" forName="parentText1" val="65"/>
                  <dgm:constr type="primFontSz" for="des" forName="childText1" refType="primFontSz" refFor="des" refForName="parentText1" op="lte"/>
                  <dgm:constr type="primFontSz" for="des" forName="childText2" refType="primFontSz" refFor="des" refForName="parentText1" op="lte"/>
                  <dgm:constr type="primFontSz" for="des" forName="childText3" refType="primFontSz" refFor="des" refForName="parentText1" op="lte"/>
                  <dgm:constr type="primFontSz" for="des" forName="childText4" refType="primFontSz" refFor="des" refForName="parentText1" op="lte"/>
                  <dgm:constr type="primFontSz" for="des" forName="childText5" refType="primFontSz" refFor="des" refForName="parentText1" op="lte"/>
                  <dgm:constr type="primFontSz" for="des" forName="childText1" refType="primFontSz" refFor="des" refForName="parentText2" op="lte"/>
                  <dgm:constr type="primFontSz" for="des" forName="childText2" refType="primFontSz" refFor="des" refForName="parentText2" op="lte"/>
                  <dgm:constr type="primFontSz" for="des" forName="childText3" refType="primFontSz" refFor="des" refForName="parentText2" op="lte"/>
                  <dgm:constr type="primFontSz" for="des" forName="childText4" refType="primFontSz" refFor="des" refForName="parentText2" op="lte"/>
                  <dgm:constr type="primFontSz" for="des" forName="childText5" refType="primFontSz" refFor="des" refForName="parentText2" op="lte"/>
                  <dgm:constr type="primFontSz" for="des" forName="childText1" refType="primFontSz" refFor="des" refForName="parentText3" op="lte"/>
                  <dgm:constr type="primFontSz" for="des" forName="childText2" refType="primFontSz" refFor="des" refForName="parentText3" op="lte"/>
                  <dgm:constr type="primFontSz" for="des" forName="childText3" refType="primFontSz" refFor="des" refForName="parentText3" op="lte"/>
                  <dgm:constr type="primFontSz" for="des" forName="childText4" refType="primFontSz" refFor="des" refForName="parentText3" op="lte"/>
                  <dgm:constr type="primFontSz" for="des" forName="childText5" refType="primFontSz" refFor="des" refForName="parentText3" op="lte"/>
                  <dgm:constr type="primFontSz" for="des" forName="childText1" refType="primFontSz" refFor="des" refForName="parentText4" op="lte"/>
                  <dgm:constr type="primFontSz" for="des" forName="childText2" refType="primFontSz" refFor="des" refForName="parentText4" op="lte"/>
                  <dgm:constr type="primFontSz" for="des" forName="childText3" refType="primFontSz" refFor="des" refForName="parentText4" op="lte"/>
                  <dgm:constr type="primFontSz" for="des" forName="childText4" refType="primFontSz" refFor="des" refForName="parentText4" op="lte"/>
                  <dgm:constr type="primFontSz" for="des" forName="childText5" refType="primFontSz" refFor="des" refForName="parentText4" op="lte"/>
                  <dgm:constr type="primFontSz" for="des" forName="childText1" refType="primFontSz" refFor="des" refForName="parentText5" op="lte"/>
                  <dgm:constr type="primFontSz" for="des" forName="childText2" refType="primFontSz" refFor="des" refForName="parentText5" op="lte"/>
                  <dgm:constr type="primFontSz" for="des" forName="childText3" refType="primFontSz" refFor="des" refForName="parentText5" op="lte"/>
                  <dgm:constr type="primFontSz" for="des" forName="childText4" refType="primFontSz" refFor="des" refForName="parentText5" op="lte"/>
                  <dgm:constr type="primFontSz" for="des" forName="childText5" refType="primFontSz" refFor="des" refForName="parentText5" op="lte"/>
                  <dgm:constr type="primFontSz" for="des" forName="parentText2" refType="primFontSz" refFor="des" refForName="parentText1" op="equ"/>
                  <dgm:constr type="primFontSz" for="des" forName="parentText3" refType="primFontSz" refFor="des" refForName="parentText1" op="equ"/>
                  <dgm:constr type="primFontSz" for="des" forName="parentText4" refType="primFontSz" refFor="des" refForName="parentText1" op="equ"/>
                  <dgm:constr type="primFontSz" for="des" forName="parentText5" refType="primFontSz" refFor="des" refForName="parentText1" op="equ"/>
                  <dgm:constr type="primFontSz" for="des" forName="childText2" refType="primFontSz" refFor="des" refForName="childText1" op="equ"/>
                  <dgm:constr type="primFontSz" for="des" forName="childText3" refType="primFontSz" refFor="des" refForName="childText1" op="equ"/>
                  <dgm:constr type="primFontSz" for="des" forName="childText4" refType="primFontSz" refFor="des" refForName="childText1" op="equ"/>
                  <dgm:constr type="primFontSz" for="des" forName="childText5" refType="primFontSz" refFor="des" refForName="childText1" op="equ"/>
                  <dgm:constr type="l" for="ch" forName="childText1" refType="w" fact="0"/>
                  <dgm:constr type="t" for="ch" forName="childText1" refType="h" fact="0.1997"/>
                  <dgm:constr type="w" for="ch" forName="childText1" refType="w" fact="0.18482"/>
                  <dgm:constr type="h" for="ch" forName="childText1" refType="h" fact="0.4763"/>
                  <dgm:constr type="l" for="ch" forName="childText2" refType="w" fact="0.1848"/>
                  <dgm:constr type="t" for="ch" forName="childText2" refType="h" fact="0.2862"/>
                  <dgm:constr type="w" for="ch" forName="childText2" refType="w" fact="0.18482"/>
                  <dgm:constr type="h" for="ch" forName="childText2" refType="h" fact="0.4763"/>
                  <dgm:constr type="l" for="ch" forName="childText3" refType="w" fact="0.3696"/>
                  <dgm:constr type="t" for="ch" forName="childText3" refType="h" fact="0.3727"/>
                  <dgm:constr type="w" for="ch" forName="childText3" refType="w" fact="0.18482"/>
                  <dgm:constr type="h" for="ch" forName="childText3" refType="h" fact="0.4763"/>
                  <dgm:constr type="l" for="ch" forName="childText4" refType="w" fact="0.5545"/>
                  <dgm:constr type="t" for="ch" forName="childText4" refType="h" fact="0.4592"/>
                  <dgm:constr type="w" for="ch" forName="childText4" refType="w" fact="0.18482"/>
                  <dgm:constr type="h" for="ch" forName="childText4" refType="h" fact="0.4763"/>
                  <dgm:constr type="l" for="ch" forName="childText5" refType="w" fact="0.7393"/>
                  <dgm:constr type="t" for="ch" forName="childText5" refType="h" fact="0.5457"/>
                  <dgm:constr type="w" for="ch" forName="childText5" refType="w" fact="0.18482"/>
                  <dgm:constr type="h" for="ch" forName="childText5" refType="h" fact="0.4763"/>
                  <dgm:constr type="l" for="ch" forName="parentText1" refType="w" fact="0"/>
                  <dgm:constr type="t" for="ch" forName="parentText1" refType="h" fact="0"/>
                  <dgm:constr type="w" for="ch" forName="parentText1" refType="w"/>
                  <dgm:constr type="h" for="ch" forName="parentText1" refType="h" fact="0.2594"/>
                  <dgm:constr type="l" for="ch" forName="parentText2" refType="w" fact="0.1848"/>
                  <dgm:constr type="t" for="ch" forName="parentText2" refType="h" fact="0.0865"/>
                  <dgm:constr type="w" for="ch" forName="parentText2" refType="w" fact="0.8152"/>
                  <dgm:constr type="h" for="ch" forName="parentText2" refType="h" fact="0.2594"/>
                  <dgm:constr type="l" for="ch" forName="parentText3" refType="w" fact="0.3696"/>
                  <dgm:constr type="t" for="ch" forName="parentText3" refType="h" fact="0.173"/>
                  <dgm:constr type="w" for="ch" forName="parentText3" refType="w" fact="0.6304"/>
                  <dgm:constr type="h" for="ch" forName="parentText3" refType="h" fact="0.2594"/>
                  <dgm:constr type="l" for="ch" forName="parentText4" refType="w" fact="0.5545"/>
                  <dgm:constr type="t" for="ch" forName="parentText4" refType="h" fact="0.2595"/>
                  <dgm:constr type="w" for="ch" forName="parentText4" refType="w" fact="0.4455"/>
                  <dgm:constr type="h" for="ch" forName="parentText4" refType="h" fact="0.2594"/>
                  <dgm:constr type="l" for="ch" forName="parentText5" refType="w" fact="0.7393"/>
                  <dgm:constr type="t" for="ch" forName="parentText5" refType="h" fact="0.346"/>
                  <dgm:constr type="w" for="ch" forName="parentText5" refType="w" fact="0.2607"/>
                  <dgm:constr type="h" for="ch" forName="parentText5" refType="h" fact="0.2594"/>
                </dgm:constrLst>
              </dgm:if>
              <dgm:else name="Name51">
                <dgm:constrLst>
                  <dgm:constr type="primFontSz" for="des" forName="childText1" val="65"/>
                  <dgm:constr type="primFontSz" for="des" forName="parentText1" val="65"/>
                  <dgm:constr type="primFontSz" for="des" forName="childText1" refType="primFontSz" refFor="des" refForName="parentText1" op="lte"/>
                  <dgm:constr type="primFontSz" for="des" forName="childText2" refType="primFontSz" refFor="des" refForName="parentText1" op="lte"/>
                  <dgm:constr type="primFontSz" for="des" forName="childText3" refType="primFontSz" refFor="des" refForName="parentText1" op="lte"/>
                  <dgm:constr type="primFontSz" for="des" forName="childText4" refType="primFontSz" refFor="des" refForName="parentText1" op="lte"/>
                  <dgm:constr type="primFontSz" for="des" forName="childText5" refType="primFontSz" refFor="des" refForName="parentText1" op="lte"/>
                  <dgm:constr type="primFontSz" for="des" forName="childText1" refType="primFontSz" refFor="des" refForName="parentText2" op="lte"/>
                  <dgm:constr type="primFontSz" for="des" forName="childText2" refType="primFontSz" refFor="des" refForName="parentText2" op="lte"/>
                  <dgm:constr type="primFontSz" for="des" forName="childText3" refType="primFontSz" refFor="des" refForName="parentText2" op="lte"/>
                  <dgm:constr type="primFontSz" for="des" forName="childText4" refType="primFontSz" refFor="des" refForName="parentText2" op="lte"/>
                  <dgm:constr type="primFontSz" for="des" forName="childText5" refType="primFontSz" refFor="des" refForName="parentText2" op="lte"/>
                  <dgm:constr type="primFontSz" for="des" forName="childText1" refType="primFontSz" refFor="des" refForName="parentText3" op="lte"/>
                  <dgm:constr type="primFontSz" for="des" forName="childText2" refType="primFontSz" refFor="des" refForName="parentText3" op="lte"/>
                  <dgm:constr type="primFontSz" for="des" forName="childText3" refType="primFontSz" refFor="des" refForName="parentText3" op="lte"/>
                  <dgm:constr type="primFontSz" for="des" forName="childText4" refType="primFontSz" refFor="des" refForName="parentText3" op="lte"/>
                  <dgm:constr type="primFontSz" for="des" forName="childText5" refType="primFontSz" refFor="des" refForName="parentText3" op="lte"/>
                  <dgm:constr type="primFontSz" for="des" forName="childText1" refType="primFontSz" refFor="des" refForName="parentText4" op="lte"/>
                  <dgm:constr type="primFontSz" for="des" forName="childText2" refType="primFontSz" refFor="des" refForName="parentText4" op="lte"/>
                  <dgm:constr type="primFontSz" for="des" forName="childText3" refType="primFontSz" refFor="des" refForName="parentText4" op="lte"/>
                  <dgm:constr type="primFontSz" for="des" forName="childText4" refType="primFontSz" refFor="des" refForName="parentText4" op="lte"/>
                  <dgm:constr type="primFontSz" for="des" forName="childText5" refType="primFontSz" refFor="des" refForName="parentText4" op="lte"/>
                  <dgm:constr type="primFontSz" for="des" forName="childText1" refType="primFontSz" refFor="des" refForName="parentText5" op="lte"/>
                  <dgm:constr type="primFontSz" for="des" forName="childText2" refType="primFontSz" refFor="des" refForName="parentText5" op="lte"/>
                  <dgm:constr type="primFontSz" for="des" forName="childText3" refType="primFontSz" refFor="des" refForName="parentText5" op="lte"/>
                  <dgm:constr type="primFontSz" for="des" forName="childText4" refType="primFontSz" refFor="des" refForName="parentText5" op="lte"/>
                  <dgm:constr type="primFontSz" for="des" forName="childText5" refType="primFontSz" refFor="des" refForName="parentText5" op="lte"/>
                  <dgm:constr type="primFontSz" for="des" forName="parentText2" refType="primFontSz" refFor="des" refForName="parentText1" op="equ"/>
                  <dgm:constr type="primFontSz" for="des" forName="parentText3" refType="primFontSz" refFor="des" refForName="parentText1" op="equ"/>
                  <dgm:constr type="primFontSz" for="des" forName="parentText4" refType="primFontSz" refFor="des" refForName="parentText1" op="equ"/>
                  <dgm:constr type="primFontSz" for="des" forName="parentText5" refType="primFontSz" refFor="des" refForName="parentText1" op="equ"/>
                  <dgm:constr type="primFontSz" for="des" forName="childText2" refType="primFontSz" refFor="des" refForName="childText1" op="equ"/>
                  <dgm:constr type="primFontSz" for="des" forName="childText3" refType="primFontSz" refFor="des" refForName="childText1" op="equ"/>
                  <dgm:constr type="primFontSz" for="des" forName="childText4" refType="primFontSz" refFor="des" refForName="childText1" op="equ"/>
                  <dgm:constr type="primFontSz" for="des" forName="childText5" refType="primFontSz" refFor="des" refForName="childText1" op="equ"/>
                  <dgm:constr type="l" for="ch" forName="childText1" refType="w" fact="0.81518"/>
                  <dgm:constr type="t" for="ch" forName="childText1" refType="h" fact="0.1997"/>
                  <dgm:constr type="w" for="ch" forName="childText1" refType="w" fact="0.18482"/>
                  <dgm:constr type="h" for="ch" forName="childText1" refType="h" fact="0.4763"/>
                  <dgm:constr type="l" for="ch" forName="childText2" refType="w" fact="0.63036"/>
                  <dgm:constr type="t" for="ch" forName="childText2" refType="h" fact="0.2862"/>
                  <dgm:constr type="w" for="ch" forName="childText2" refType="w" fact="0.18482"/>
                  <dgm:constr type="h" for="ch" forName="childText2" refType="h" fact="0.4763"/>
                  <dgm:constr type="l" for="ch" forName="childText3" refType="w" fact="0.44554"/>
                  <dgm:constr type="t" for="ch" forName="childText3" refType="h" fact="0.3727"/>
                  <dgm:constr type="w" for="ch" forName="childText3" refType="w" fact="0.18482"/>
                  <dgm:constr type="h" for="ch" forName="childText3" refType="h" fact="0.4763"/>
                  <dgm:constr type="l" for="ch" forName="childText4" refType="w" fact="0.26072"/>
                  <dgm:constr type="t" for="ch" forName="childText4" refType="h" fact="0.4592"/>
                  <dgm:constr type="w" for="ch" forName="childText4" refType="w" fact="0.18482"/>
                  <dgm:constr type="h" for="ch" forName="childText4" refType="h" fact="0.4763"/>
                  <dgm:constr type="l" for="ch" forName="childText5" refType="w" fact="0.0759"/>
                  <dgm:constr type="t" for="ch" forName="childText5" refType="h" fact="0.5457"/>
                  <dgm:constr type="w" for="ch" forName="childText5" refType="w" fact="0.18482"/>
                  <dgm:constr type="h" for="ch" forName="childText5" refType="h" fact="0.4763"/>
                  <dgm:constr type="l" for="ch" forName="parentText1" refType="w" fact="0"/>
                  <dgm:constr type="t" for="ch" forName="parentText1" refType="h" fact="0"/>
                  <dgm:constr type="w" for="ch" forName="parentText1" refType="w"/>
                  <dgm:constr type="h" for="ch" forName="parentText1" refType="h" fact="0.2594"/>
                  <dgm:constr type="l" for="ch" forName="parentText2" refType="w" fact="0"/>
                  <dgm:constr type="t" for="ch" forName="parentText2" refType="h" fact="0.0865"/>
                  <dgm:constr type="w" for="ch" forName="parentText2" refType="w" fact="0.8152"/>
                  <dgm:constr type="h" for="ch" forName="parentText2" refType="h" fact="0.2594"/>
                  <dgm:constr type="l" for="ch" forName="parentText3" refType="w" fact="0"/>
                  <dgm:constr type="t" for="ch" forName="parentText3" refType="h" fact="0.173"/>
                  <dgm:constr type="w" for="ch" forName="parentText3" refType="w" fact="0.6304"/>
                  <dgm:constr type="h" for="ch" forName="parentText3" refType="h" fact="0.2594"/>
                  <dgm:constr type="l" for="ch" forName="parentText4" refType="w" fact="0"/>
                  <dgm:constr type="t" for="ch" forName="parentText4" refType="h" fact="0.2595"/>
                  <dgm:constr type="w" for="ch" forName="parentText4" refType="w" fact="0.4455"/>
                  <dgm:constr type="h" for="ch" forName="parentText4" refType="h" fact="0.2594"/>
                  <dgm:constr type="l" for="ch" forName="parentText5" refType="w" fact="0"/>
                  <dgm:constr type="t" for="ch" forName="parentText5" refType="h" fact="0.346"/>
                  <dgm:constr type="w" for="ch" forName="parentText5" refType="w" fact="0.2607"/>
                  <dgm:constr type="h" for="ch" forName="parentText5" refType="h" fact="0.2594"/>
                </dgm:constrLst>
              </dgm:else>
            </dgm:choose>
          </dgm:else>
        </dgm:choose>
      </dgm:else>
    </dgm:choose>
    <dgm:forEach name="Name52" axis="ch" ptType="node" cnt="1">
      <dgm:layoutNode name="parentText1" styleLbl="node1">
        <dgm:varLst>
          <dgm:chMax/>
          <dgm:chPref val="3"/>
          <dgm:bulletEnabled val="1"/>
        </dgm:varLst>
        <dgm:choose name="Name53">
          <dgm:if name="Name54" func="var" arg="dir" op="equ" val="norm">
            <dgm:alg type="tx">
              <dgm:param type="parTxLTRAlign" val="l"/>
            </dgm:alg>
            <dgm:shape xmlns:r="http://schemas.openxmlformats.org/officeDocument/2006/relationships" type="rightArrow" r:blip="">
              <dgm:adjLst>
                <dgm:adj idx="1" val="0.5"/>
                <dgm:adj idx="2" val="0.5"/>
              </dgm:adjLst>
            </dgm:shape>
            <dgm:constrLst>
              <dgm:constr type="lMarg" refType="primFontSz" fact="0.3"/>
              <dgm:constr type="rMarg" val="20"/>
              <dgm:constr type="tMarg" refType="primFontSz" fact="0.3"/>
              <dgm:constr type="bMarg" refType="h" fact="0.45"/>
            </dgm:constrLst>
          </dgm:if>
          <dgm:else name="Name55">
            <dgm:alg type="tx">
              <dgm:param type="parTxLTRAlign" val="r"/>
            </dgm:alg>
            <dgm:shape xmlns:r="http://schemas.openxmlformats.org/officeDocument/2006/relationships" type="leftArrow" r:blip="">
              <dgm:adjLst>
                <dgm:adj idx="1" val="0.5"/>
                <dgm:adj idx="2" val="0.5"/>
              </dgm:adjLst>
            </dgm:shape>
            <dgm:constrLst>
              <dgm:constr type="lMarg" val="20"/>
              <dgm:constr type="rMarg" refType="primFontSz" fact="0.3"/>
              <dgm:constr type="tMarg" refType="primFontSz" fact="0.3"/>
              <dgm:constr type="bMarg" refType="h" fact="0.45"/>
            </dgm:constrLst>
          </dgm:else>
        </dgm:choose>
        <dgm:presOf axis="self" ptType="node"/>
        <dgm:ruleLst>
          <dgm:rule type="primFontSz" val="5" fact="NaN" max="NaN"/>
        </dgm:ruleLst>
      </dgm:layoutNode>
      <dgm:choose name="Name56">
        <dgm:if name="Name57" axis="ch" ptType="node" func="cnt" op="gte" val="1">
          <dgm:layoutNode name="childText1" styleLbl="solidAlignAcc1">
            <dgm:varLst>
              <dgm:chMax val="0"/>
              <dgm:chPref val="0"/>
              <dgm:bulletEnabled val="1"/>
            </dgm:varLst>
            <dgm:alg type="tx">
              <dgm:param type="txAnchorVert" val="t"/>
              <dgm:param type="parTxLTRAlign" val="l"/>
            </dgm:alg>
            <dgm:shape xmlns:r="http://schemas.openxmlformats.org/officeDocument/2006/relationships" type="rect" r:blip="">
              <dgm:adjLst/>
            </dgm:shape>
            <dgm:presOf axis="des" ptType="node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</dgm:if>
        <dgm:else name="Name58"/>
      </dgm:choose>
    </dgm:forEach>
    <dgm:forEach name="Name59" axis="ch" ptType="node" st="2" cnt="1">
      <dgm:layoutNode name="parentText2" styleLbl="node1">
        <dgm:varLst>
          <dgm:chMax/>
          <dgm:chPref val="3"/>
          <dgm:bulletEnabled val="1"/>
        </dgm:varLst>
        <dgm:choose name="Name60">
          <dgm:if name="Name61" func="var" arg="dir" op="equ" val="norm">
            <dgm:alg type="tx">
              <dgm:param type="parTxLTRAlign" val="l"/>
            </dgm:alg>
            <dgm:shape xmlns:r="http://schemas.openxmlformats.org/officeDocument/2006/relationships" type="rightArrow" r:blip="">
              <dgm:adjLst>
                <dgm:adj idx="1" val="0.5"/>
                <dgm:adj idx="2" val="0.5"/>
              </dgm:adjLst>
            </dgm:shape>
            <dgm:constrLst>
              <dgm:constr type="lMarg" refType="primFontSz" fact="0.3"/>
              <dgm:constr type="rMarg" val="20"/>
              <dgm:constr type="tMarg" refType="primFontSz" fact="0.3"/>
              <dgm:constr type="bMarg" refType="h" fact="0.45"/>
            </dgm:constrLst>
          </dgm:if>
          <dgm:else name="Name62">
            <dgm:alg type="tx">
              <dgm:param type="parTxLTRAlign" val="r"/>
            </dgm:alg>
            <dgm:shape xmlns:r="http://schemas.openxmlformats.org/officeDocument/2006/relationships" type="leftArrow" r:blip="">
              <dgm:adjLst>
                <dgm:adj idx="1" val="0.5"/>
                <dgm:adj idx="2" val="0.5"/>
              </dgm:adjLst>
            </dgm:shape>
            <dgm:constrLst>
              <dgm:constr type="lMarg" val="20"/>
              <dgm:constr type="rMarg" refType="primFontSz" fact="0.3"/>
              <dgm:constr type="tMarg" refType="primFontSz" fact="0.3"/>
              <dgm:constr type="bMarg" refType="h" fact="0.45"/>
            </dgm:constrLst>
          </dgm:else>
        </dgm:choose>
        <dgm:presOf axis="self" ptType="node"/>
        <dgm:ruleLst>
          <dgm:rule type="primFontSz" val="5" fact="NaN" max="NaN"/>
        </dgm:ruleLst>
      </dgm:layoutNode>
      <dgm:choose name="Name63">
        <dgm:if name="Name64" axis="ch" ptType="node" func="cnt" op="gte" val="1">
          <dgm:layoutNode name="childText2" styleLbl="solidAlignAcc1">
            <dgm:varLst>
              <dgm:chMax val="0"/>
              <dgm:chPref val="0"/>
              <dgm:bulletEnabled val="1"/>
            </dgm:varLst>
            <dgm:alg type="tx">
              <dgm:param type="txAnchorVert" val="t"/>
              <dgm:param type="parTxLTRAlign" val="l"/>
            </dgm:alg>
            <dgm:shape xmlns:r="http://schemas.openxmlformats.org/officeDocument/2006/relationships" type="rect" r:blip="">
              <dgm:adjLst/>
            </dgm:shape>
            <dgm:presOf axis="des" ptType="node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</dgm:if>
        <dgm:else name="Name65"/>
      </dgm:choose>
    </dgm:forEach>
    <dgm:forEach name="Name66" axis="ch" ptType="node" st="3" cnt="1">
      <dgm:layoutNode name="parentText3" styleLbl="node1">
        <dgm:varLst>
          <dgm:chMax/>
          <dgm:chPref val="3"/>
          <dgm:bulletEnabled val="1"/>
        </dgm:varLst>
        <dgm:choose name="Name67">
          <dgm:if name="Name68" func="var" arg="dir" op="equ" val="norm">
            <dgm:alg type="tx">
              <dgm:param type="parTxLTRAlign" val="l"/>
            </dgm:alg>
            <dgm:shape xmlns:r="http://schemas.openxmlformats.org/officeDocument/2006/relationships" type="rightArrow" r:blip="">
              <dgm:adjLst>
                <dgm:adj idx="1" val="0.5"/>
                <dgm:adj idx="2" val="0.5"/>
              </dgm:adjLst>
            </dgm:shape>
            <dgm:constrLst>
              <dgm:constr type="lMarg" refType="primFontSz" fact="0.3"/>
              <dgm:constr type="rMarg" val="20"/>
              <dgm:constr type="tMarg" refType="primFontSz" fact="0.3"/>
              <dgm:constr type="bMarg" refType="h" fact="0.45"/>
            </dgm:constrLst>
          </dgm:if>
          <dgm:else name="Name69">
            <dgm:alg type="tx">
              <dgm:param type="parTxLTRAlign" val="r"/>
            </dgm:alg>
            <dgm:shape xmlns:r="http://schemas.openxmlformats.org/officeDocument/2006/relationships" type="leftArrow" r:blip="">
              <dgm:adjLst>
                <dgm:adj idx="1" val="0.5"/>
                <dgm:adj idx="2" val="0.5"/>
              </dgm:adjLst>
            </dgm:shape>
            <dgm:constrLst>
              <dgm:constr type="lMarg" val="20"/>
              <dgm:constr type="rMarg" refType="primFontSz" fact="0.3"/>
              <dgm:constr type="tMarg" refType="primFontSz" fact="0.3"/>
              <dgm:constr type="bMarg" refType="h" fact="0.45"/>
            </dgm:constrLst>
          </dgm:else>
        </dgm:choose>
        <dgm:presOf axis="self" ptType="node"/>
        <dgm:ruleLst>
          <dgm:rule type="primFontSz" val="5" fact="NaN" max="NaN"/>
        </dgm:ruleLst>
      </dgm:layoutNode>
      <dgm:choose name="Name70">
        <dgm:if name="Name71" axis="ch" ptType="node" func="cnt" op="gte" val="1">
          <dgm:layoutNode name="childText3" styleLbl="solidAlignAcc1">
            <dgm:varLst>
              <dgm:chMax val="0"/>
              <dgm:chPref val="0"/>
              <dgm:bulletEnabled val="1"/>
            </dgm:varLst>
            <dgm:alg type="tx">
              <dgm:param type="txAnchorVert" val="t"/>
              <dgm:param type="parTxLTRAlign" val="l"/>
            </dgm:alg>
            <dgm:shape xmlns:r="http://schemas.openxmlformats.org/officeDocument/2006/relationships" type="rect" r:blip="">
              <dgm:adjLst/>
            </dgm:shape>
            <dgm:presOf axis="des" ptType="node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</dgm:if>
        <dgm:else name="Name72"/>
      </dgm:choose>
    </dgm:forEach>
    <dgm:forEach name="Name73" axis="ch" ptType="node" st="4" cnt="1">
      <dgm:layoutNode name="parentText4" styleLbl="node1">
        <dgm:varLst>
          <dgm:chMax/>
          <dgm:chPref val="3"/>
          <dgm:bulletEnabled val="1"/>
        </dgm:varLst>
        <dgm:choose name="Name74">
          <dgm:if name="Name75" func="var" arg="dir" op="equ" val="norm">
            <dgm:alg type="tx">
              <dgm:param type="parTxLTRAlign" val="l"/>
            </dgm:alg>
            <dgm:shape xmlns:r="http://schemas.openxmlformats.org/officeDocument/2006/relationships" type="rightArrow" r:blip="">
              <dgm:adjLst>
                <dgm:adj idx="1" val="0.5"/>
                <dgm:adj idx="2" val="0.5"/>
              </dgm:adjLst>
            </dgm:shape>
            <dgm:constrLst>
              <dgm:constr type="lMarg" refType="primFontSz" fact="0.3"/>
              <dgm:constr type="rMarg" val="20"/>
              <dgm:constr type="tMarg" refType="primFontSz" fact="0.3"/>
              <dgm:constr type="bMarg" refType="h" fact="0.45"/>
            </dgm:constrLst>
          </dgm:if>
          <dgm:else name="Name76">
            <dgm:alg type="tx">
              <dgm:param type="parTxLTRAlign" val="r"/>
            </dgm:alg>
            <dgm:shape xmlns:r="http://schemas.openxmlformats.org/officeDocument/2006/relationships" type="leftArrow" r:blip="">
              <dgm:adjLst>
                <dgm:adj idx="1" val="0.5"/>
                <dgm:adj idx="2" val="0.5"/>
              </dgm:adjLst>
            </dgm:shape>
            <dgm:constrLst>
              <dgm:constr type="lMarg" val="20"/>
              <dgm:constr type="rMarg" refType="primFontSz" fact="0.3"/>
              <dgm:constr type="tMarg" refType="primFontSz" fact="0.3"/>
              <dgm:constr type="bMarg" refType="h" fact="0.45"/>
            </dgm:constrLst>
          </dgm:else>
        </dgm:choose>
        <dgm:presOf axis="self" ptType="node"/>
        <dgm:ruleLst>
          <dgm:rule type="primFontSz" val="5" fact="NaN" max="NaN"/>
        </dgm:ruleLst>
      </dgm:layoutNode>
      <dgm:choose name="Name77">
        <dgm:if name="Name78" axis="ch" ptType="node" func="cnt" op="gte" val="1">
          <dgm:layoutNode name="childText4" styleLbl="solidAlignAcc1">
            <dgm:varLst>
              <dgm:chMax val="0"/>
              <dgm:chPref val="0"/>
              <dgm:bulletEnabled val="1"/>
            </dgm:varLst>
            <dgm:alg type="tx">
              <dgm:param type="txAnchorVert" val="t"/>
              <dgm:param type="parTxLTRAlign" val="l"/>
            </dgm:alg>
            <dgm:shape xmlns:r="http://schemas.openxmlformats.org/officeDocument/2006/relationships" type="rect" r:blip="">
              <dgm:adjLst/>
            </dgm:shape>
            <dgm:presOf axis="des" ptType="node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</dgm:if>
        <dgm:else name="Name79"/>
      </dgm:choose>
    </dgm:forEach>
    <dgm:forEach name="Name80" axis="ch" ptType="node" st="5" cnt="1">
      <dgm:layoutNode name="parentText5" styleLbl="node1">
        <dgm:varLst>
          <dgm:chMax/>
          <dgm:chPref val="3"/>
          <dgm:bulletEnabled val="1"/>
        </dgm:varLst>
        <dgm:choose name="Name81">
          <dgm:if name="Name82" func="var" arg="dir" op="equ" val="norm">
            <dgm:alg type="tx">
              <dgm:param type="parTxLTRAlign" val="l"/>
            </dgm:alg>
            <dgm:shape xmlns:r="http://schemas.openxmlformats.org/officeDocument/2006/relationships" type="rightArrow" r:blip="">
              <dgm:adjLst>
                <dgm:adj idx="1" val="0.5"/>
                <dgm:adj idx="2" val="0.5"/>
              </dgm:adjLst>
            </dgm:shape>
            <dgm:constrLst>
              <dgm:constr type="lMarg" refType="primFontSz" fact="0.3"/>
              <dgm:constr type="rMarg" val="20"/>
              <dgm:constr type="tMarg" refType="primFontSz" fact="0.3"/>
              <dgm:constr type="bMarg" refType="h" fact="0.45"/>
            </dgm:constrLst>
          </dgm:if>
          <dgm:else name="Name83">
            <dgm:alg type="tx">
              <dgm:param type="parTxLTRAlign" val="r"/>
            </dgm:alg>
            <dgm:shape xmlns:r="http://schemas.openxmlformats.org/officeDocument/2006/relationships" type="leftArrow" r:blip="">
              <dgm:adjLst>
                <dgm:adj idx="1" val="0.5"/>
                <dgm:adj idx="2" val="0.5"/>
              </dgm:adjLst>
            </dgm:shape>
            <dgm:constrLst>
              <dgm:constr type="lMarg" val="20"/>
              <dgm:constr type="rMarg" refType="primFontSz" fact="0.3"/>
              <dgm:constr type="tMarg" refType="primFontSz" fact="0.3"/>
              <dgm:constr type="bMarg" refType="h" fact="0.45"/>
            </dgm:constrLst>
          </dgm:else>
        </dgm:choose>
        <dgm:presOf axis="self" ptType="node"/>
        <dgm:ruleLst>
          <dgm:rule type="primFontSz" val="5" fact="NaN" max="NaN"/>
        </dgm:ruleLst>
      </dgm:layoutNode>
      <dgm:choose name="Name84">
        <dgm:if name="Name85" axis="ch" ptType="node" func="cnt" op="gte" val="1">
          <dgm:layoutNode name="childText5" styleLbl="solidAlignAcc1">
            <dgm:varLst>
              <dgm:chMax val="0"/>
              <dgm:chPref val="0"/>
              <dgm:bulletEnabled val="1"/>
            </dgm:varLst>
            <dgm:alg type="tx">
              <dgm:param type="txAnchorVert" val="t"/>
              <dgm:param type="parTxLTRAlign" val="l"/>
            </dgm:alg>
            <dgm:shape xmlns:r="http://schemas.openxmlformats.org/officeDocument/2006/relationships" type="rect" r:blip="">
              <dgm:adjLst/>
            </dgm:shape>
            <dgm:presOf axis="des" ptType="node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</dgm:if>
        <dgm:else name="Name86"/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2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jpe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13" Type="http://schemas.openxmlformats.org/officeDocument/2006/relationships/diagramQuickStyle" Target="../diagrams/quickStyle3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12" Type="http://schemas.openxmlformats.org/officeDocument/2006/relationships/diagramLayout" Target="../diagrams/layout3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11" Type="http://schemas.openxmlformats.org/officeDocument/2006/relationships/diagramData" Target="../diagrams/data3.xml"/><Relationship Id="rId5" Type="http://schemas.microsoft.com/office/2007/relationships/diagramDrawing" Target="../diagrams/drawing1.xml"/><Relationship Id="rId15" Type="http://schemas.microsoft.com/office/2007/relationships/diagramDrawing" Target="../diagrams/drawing3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Relationship Id="rId14" Type="http://schemas.openxmlformats.org/officeDocument/2006/relationships/diagramColors" Target="../diagrams/colors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19</xdr:row>
      <xdr:rowOff>375920</xdr:rowOff>
    </xdr:from>
    <xdr:ext cx="11460480" cy="4450081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</xdr:col>
      <xdr:colOff>22883</xdr:colOff>
      <xdr:row>44</xdr:row>
      <xdr:rowOff>396240</xdr:rowOff>
    </xdr:from>
    <xdr:to>
      <xdr:col>9</xdr:col>
      <xdr:colOff>1259839</xdr:colOff>
      <xdr:row>67</xdr:row>
      <xdr:rowOff>146538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D97BE68-A0BF-3F51-CF55-D5CB42F744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20321</xdr:colOff>
      <xdr:row>70</xdr:row>
      <xdr:rowOff>10160</xdr:rowOff>
    </xdr:from>
    <xdr:to>
      <xdr:col>9</xdr:col>
      <xdr:colOff>1221672</xdr:colOff>
      <xdr:row>92</xdr:row>
      <xdr:rowOff>172720</xdr:rowOff>
    </xdr:to>
    <xdr:graphicFrame macro="">
      <xdr:nvGraphicFramePr>
        <xdr:cNvPr id="4" name="GR_Top_10_CLients">
          <a:extLst>
            <a:ext uri="{FF2B5EF4-FFF2-40B4-BE49-F238E27FC236}">
              <a16:creationId xmlns:a16="http://schemas.microsoft.com/office/drawing/2014/main" id="{A8A8927C-D6F4-3540-A6FE-7B83C98505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36612</xdr:colOff>
      <xdr:row>95</xdr:row>
      <xdr:rowOff>18534</xdr:rowOff>
    </xdr:from>
    <xdr:to>
      <xdr:col>9</xdr:col>
      <xdr:colOff>1247117</xdr:colOff>
      <xdr:row>117</xdr:row>
      <xdr:rowOff>125856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BF137B6F-6179-FB2B-318E-AC5891C24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5951</xdr:colOff>
      <xdr:row>120</xdr:row>
      <xdr:rowOff>45308</xdr:rowOff>
    </xdr:from>
    <xdr:to>
      <xdr:col>9</xdr:col>
      <xdr:colOff>1230184</xdr:colOff>
      <xdr:row>142</xdr:row>
      <xdr:rowOff>138186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278A6E9-1AF2-CD4F-BB88-4894CCCD8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46079</xdr:colOff>
      <xdr:row>49</xdr:row>
      <xdr:rowOff>183062</xdr:rowOff>
    </xdr:from>
    <xdr:to>
      <xdr:col>3</xdr:col>
      <xdr:colOff>197313</xdr:colOff>
      <xdr:row>51</xdr:row>
      <xdr:rowOff>183062</xdr:rowOff>
    </xdr:to>
    <xdr:sp macro="" textlink="">
      <xdr:nvSpPr>
        <xdr:cNvPr id="5" name="Rectangle : coins arrondis 4">
          <a:extLst>
            <a:ext uri="{FF2B5EF4-FFF2-40B4-BE49-F238E27FC236}">
              <a16:creationId xmlns:a16="http://schemas.microsoft.com/office/drawing/2014/main" id="{3FAB9E07-0585-4250-D233-58379411EAA8}"/>
            </a:ext>
          </a:extLst>
        </xdr:cNvPr>
        <xdr:cNvSpPr/>
      </xdr:nvSpPr>
      <xdr:spPr>
        <a:xfrm>
          <a:off x="2562988" y="10689426"/>
          <a:ext cx="1513598" cy="39254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 kern="1200">
              <a:ln>
                <a:noFill/>
              </a:ln>
              <a:solidFill>
                <a:schemeClr val="accent1"/>
              </a:solidFill>
            </a:rPr>
            <a:t>Biens de conso</a:t>
          </a:r>
        </a:p>
      </xdr:txBody>
    </xdr:sp>
    <xdr:clientData/>
  </xdr:twoCellAnchor>
  <xdr:twoCellAnchor editAs="oneCell">
    <xdr:from>
      <xdr:col>7</xdr:col>
      <xdr:colOff>53526</xdr:colOff>
      <xdr:row>127</xdr:row>
      <xdr:rowOff>182966</xdr:rowOff>
    </xdr:from>
    <xdr:to>
      <xdr:col>9</xdr:col>
      <xdr:colOff>810146</xdr:colOff>
      <xdr:row>142</xdr:row>
      <xdr:rowOff>141637</xdr:rowOff>
    </xdr:to>
    <xdr:pic>
      <xdr:nvPicPr>
        <xdr:cNvPr id="6" name="dimg_PSNxZ_2-Bt-akdUPn9bniQo_21" descr="Panier Légumes Art vectoriel, icônes et graphiques à télécharger  gratuitement">
          <a:extLst>
            <a:ext uri="{FF2B5EF4-FFF2-40B4-BE49-F238E27FC236}">
              <a16:creationId xmlns:a16="http://schemas.microsoft.com/office/drawing/2014/main" id="{1B477F8D-AF6F-DF60-C6E7-0EA706601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1259" y="25582966"/>
          <a:ext cx="2907154" cy="2752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516323</xdr:colOff>
      <xdr:row>127</xdr:row>
      <xdr:rowOff>118388</xdr:rowOff>
    </xdr:from>
    <xdr:to>
      <xdr:col>6</xdr:col>
      <xdr:colOff>735022</xdr:colOff>
      <xdr:row>142</xdr:row>
      <xdr:rowOff>92773</xdr:rowOff>
    </xdr:to>
    <xdr:pic>
      <xdr:nvPicPr>
        <xdr:cNvPr id="7" name="dimg_hiNxZ9roKOefkdUPkJOf4QM_241" descr="Shampooing et savon illustration stock. Illustration du soin - 19642150">
          <a:extLst>
            <a:ext uri="{FF2B5EF4-FFF2-40B4-BE49-F238E27FC236}">
              <a16:creationId xmlns:a16="http://schemas.microsoft.com/office/drawing/2014/main" id="{C2A0D299-4855-3819-5B3E-C1FAAE709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4056" y="25518388"/>
          <a:ext cx="2758699" cy="27683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42764</xdr:colOff>
      <xdr:row>121</xdr:row>
      <xdr:rowOff>75339</xdr:rowOff>
    </xdr:from>
    <xdr:to>
      <xdr:col>9</xdr:col>
      <xdr:colOff>731579</xdr:colOff>
      <xdr:row>126</xdr:row>
      <xdr:rowOff>32289</xdr:rowOff>
    </xdr:to>
    <xdr:sp macro="" textlink="TCD!$H$4">
      <xdr:nvSpPr>
        <xdr:cNvPr id="8" name="Rectangle : coins arrondis 7">
          <a:extLst>
            <a:ext uri="{FF2B5EF4-FFF2-40B4-BE49-F238E27FC236}">
              <a16:creationId xmlns:a16="http://schemas.microsoft.com/office/drawing/2014/main" id="{B1A5987D-3B0B-9283-B240-DF4C0A28E6B7}"/>
            </a:ext>
          </a:extLst>
        </xdr:cNvPr>
        <xdr:cNvSpPr/>
      </xdr:nvSpPr>
      <xdr:spPr>
        <a:xfrm>
          <a:off x="9000497" y="24357739"/>
          <a:ext cx="2839349" cy="88828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E6F3FA7-D1C9-6A4B-B788-7D35CDB68604}" type="TxLink">
            <a:rPr lang="en-US" sz="3200" b="1" i="0" u="none" strike="noStrike" kern="1200">
              <a:solidFill>
                <a:schemeClr val="bg1"/>
              </a:solidFill>
              <a:latin typeface="Calibri"/>
              <a:cs typeface="Calibri"/>
            </a:rPr>
            <a:pPr algn="ctr"/>
            <a:t>63%</a:t>
          </a:fld>
          <a:endParaRPr lang="fr-FR" sz="32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548610</xdr:colOff>
      <xdr:row>121</xdr:row>
      <xdr:rowOff>75339</xdr:rowOff>
    </xdr:from>
    <xdr:to>
      <xdr:col>6</xdr:col>
      <xdr:colOff>839204</xdr:colOff>
      <xdr:row>126</xdr:row>
      <xdr:rowOff>32289</xdr:rowOff>
    </xdr:to>
    <xdr:sp macro="" textlink="TCD!H3">
      <xdr:nvSpPr>
        <xdr:cNvPr id="10" name="Rectangle : coins arrondis 9">
          <a:extLst>
            <a:ext uri="{FF2B5EF4-FFF2-40B4-BE49-F238E27FC236}">
              <a16:creationId xmlns:a16="http://schemas.microsoft.com/office/drawing/2014/main" id="{EFE02D0C-6DC1-5148-95DA-D5B2EF45F327}"/>
            </a:ext>
          </a:extLst>
        </xdr:cNvPr>
        <xdr:cNvSpPr/>
      </xdr:nvSpPr>
      <xdr:spPr>
        <a:xfrm>
          <a:off x="5696343" y="24357739"/>
          <a:ext cx="2830594" cy="88828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71007941-5E71-1A4A-925A-949C9AA9E057}" type="TxLink">
            <a:rPr lang="en-US" sz="3200" b="1" i="0" u="none" strike="noStrike" kern="1200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37%</a:t>
          </a:fld>
          <a:endParaRPr lang="fr-FR" sz="3200" b="1" i="0" u="none" strike="noStrike" kern="1200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0.76289</cdr:x>
      <cdr:y>0.6918</cdr:y>
    </cdr:from>
    <cdr:to>
      <cdr:x>0.89462</cdr:x>
      <cdr:y>0.77846</cdr:y>
    </cdr:to>
    <cdr:sp macro="" textlink="">
      <cdr:nvSpPr>
        <cdr:cNvPr id="3" name="Rectangle : coins arrondis 2">
          <a:extLst xmlns:a="http://schemas.openxmlformats.org/drawingml/2006/main">
            <a:ext uri="{FF2B5EF4-FFF2-40B4-BE49-F238E27FC236}">
              <a16:creationId xmlns:a16="http://schemas.microsoft.com/office/drawing/2014/main" id="{3FAB9E07-0585-4250-D233-58379411EAA8}"/>
            </a:ext>
          </a:extLst>
        </cdr:cNvPr>
        <cdr:cNvSpPr/>
      </cdr:nvSpPr>
      <cdr:spPr>
        <a:xfrm xmlns:a="http://schemas.openxmlformats.org/drawingml/2006/main">
          <a:off x="8747452" y="3127125"/>
          <a:ext cx="1510446" cy="391727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400" b="1" kern="1200">
              <a:ln>
                <a:noFill/>
              </a:ln>
              <a:solidFill>
                <a:schemeClr val="accent3"/>
              </a:solidFill>
            </a:rPr>
            <a:t>High</a:t>
          </a:r>
          <a:r>
            <a:rPr lang="fr-FR" sz="1400" b="1" kern="1200" baseline="0">
              <a:ln>
                <a:noFill/>
              </a:ln>
              <a:solidFill>
                <a:schemeClr val="bg1">
                  <a:lumMod val="65000"/>
                  <a:alpha val="70000"/>
                </a:schemeClr>
              </a:solidFill>
            </a:rPr>
            <a:t> </a:t>
          </a:r>
          <a:r>
            <a:rPr lang="fr-FR" sz="1400" b="1" kern="1200" baseline="0">
              <a:ln>
                <a:noFill/>
              </a:ln>
              <a:solidFill>
                <a:schemeClr val="accent3"/>
              </a:solidFill>
            </a:rPr>
            <a:t>tech</a:t>
          </a:r>
          <a:endParaRPr lang="fr-FR" sz="1400" b="1" kern="1200">
            <a:ln>
              <a:noFill/>
            </a:ln>
            <a:solidFill>
              <a:schemeClr val="accent3"/>
            </a:solidFill>
          </a:endParaRPr>
        </a:p>
      </cdr:txBody>
    </cdr:sp>
  </cdr:relSizeAnchor>
  <cdr:relSizeAnchor xmlns:cdr="http://schemas.openxmlformats.org/drawingml/2006/chartDrawing">
    <cdr:from>
      <cdr:x>0.45468</cdr:x>
      <cdr:y>0.01132</cdr:y>
    </cdr:from>
    <cdr:to>
      <cdr:x>0.5864</cdr:x>
      <cdr:y>0.09797</cdr:y>
    </cdr:to>
    <cdr:sp macro="" textlink="">
      <cdr:nvSpPr>
        <cdr:cNvPr id="2" name="Rectangle : coins arrondis 1">
          <a:extLst xmlns:a="http://schemas.openxmlformats.org/drawingml/2006/main">
            <a:ext uri="{FF2B5EF4-FFF2-40B4-BE49-F238E27FC236}">
              <a16:creationId xmlns:a16="http://schemas.microsoft.com/office/drawing/2014/main" id="{3FAB9E07-0585-4250-D233-58379411EAA8}"/>
            </a:ext>
          </a:extLst>
        </cdr:cNvPr>
        <cdr:cNvSpPr/>
      </cdr:nvSpPr>
      <cdr:spPr>
        <a:xfrm xmlns:a="http://schemas.openxmlformats.org/drawingml/2006/main">
          <a:off x="5213488" y="51170"/>
          <a:ext cx="1510331" cy="391682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400" b="1" kern="1200">
              <a:ln>
                <a:noFill/>
              </a:ln>
              <a:solidFill>
                <a:schemeClr val="accent2"/>
              </a:solidFill>
            </a:rPr>
            <a:t>Nourriture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622300</xdr:colOff>
      <xdr:row>2</xdr:row>
      <xdr:rowOff>44450</xdr:rowOff>
    </xdr:from>
    <xdr:to>
      <xdr:col>6</xdr:col>
      <xdr:colOff>241300</xdr:colOff>
      <xdr:row>16</xdr:row>
      <xdr:rowOff>120650</xdr:rowOff>
    </xdr:to>
    <xdr:graphicFrame macro="">
      <xdr:nvGraphicFramePr>
        <xdr:cNvPr id="3" name="Diagramme 2">
          <a:extLst>
            <a:ext uri="{FF2B5EF4-FFF2-40B4-BE49-F238E27FC236}">
              <a16:creationId xmlns:a16="http://schemas.microsoft.com/office/drawing/2014/main" id="{24A50EFE-C93D-D1BB-DA54-232ED0CE1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2</xdr:col>
      <xdr:colOff>406400</xdr:colOff>
      <xdr:row>20</xdr:row>
      <xdr:rowOff>69850</xdr:rowOff>
    </xdr:from>
    <xdr:to>
      <xdr:col>9</xdr:col>
      <xdr:colOff>25400</xdr:colOff>
      <xdr:row>42</xdr:row>
      <xdr:rowOff>88900</xdr:rowOff>
    </xdr:to>
    <xdr:graphicFrame macro="">
      <xdr:nvGraphicFramePr>
        <xdr:cNvPr id="4" name="Diagramme 3">
          <a:extLst>
            <a:ext uri="{FF2B5EF4-FFF2-40B4-BE49-F238E27FC236}">
              <a16:creationId xmlns:a16="http://schemas.microsoft.com/office/drawing/2014/main" id="{0C9ADB05-256B-58BC-AF81-38E3CBCE3D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  <xdr:twoCellAnchor>
    <xdr:from>
      <xdr:col>10</xdr:col>
      <xdr:colOff>127000</xdr:colOff>
      <xdr:row>3</xdr:row>
      <xdr:rowOff>31750</xdr:rowOff>
    </xdr:from>
    <xdr:to>
      <xdr:col>15</xdr:col>
      <xdr:colOff>571500</xdr:colOff>
      <xdr:row>17</xdr:row>
      <xdr:rowOff>107950</xdr:rowOff>
    </xdr:to>
    <xdr:graphicFrame macro="">
      <xdr:nvGraphicFramePr>
        <xdr:cNvPr id="7" name="Diagramme 6">
          <a:extLst>
            <a:ext uri="{FF2B5EF4-FFF2-40B4-BE49-F238E27FC236}">
              <a16:creationId xmlns:a16="http://schemas.microsoft.com/office/drawing/2014/main" id="{605DE2EC-2757-7B3E-3108-947574C463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1" r:lo="rId12" r:qs="rId13" r:cs="rId1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an-François Dubroca" refreshedDate="45651.751382638889" createdVersion="8" refreshedVersion="8" minRefreshableVersion="3" recordCount="660" xr:uid="{7CFEFD6C-F082-154B-8543-6C03C2EDB52B}">
  <cacheSource type="worksheet">
    <worksheetSource name="Tableau1"/>
  </cacheSource>
  <cacheFields count="4">
    <cacheField name="ID client" numFmtId="0">
      <sharedItems containsSemiMixedTypes="0" containsString="0" containsNumber="1" containsInteger="1" minValue="1" maxValue="74" count="66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</sharedItems>
    </cacheField>
    <cacheField name="Temps d'achat" numFmtId="4">
      <sharedItems containsSemiMixedTypes="0" containsString="0" containsNumber="1" minValue="1.5" maxValue="13"/>
    </cacheField>
    <cacheField name="Montant" numFmtId="165">
      <sharedItems containsSemiMixedTypes="0" containsString="0" containsNumber="1" minValue="6.97" maxValue="132.72999999999999"/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 pivotCacheId="3195428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n v="5.22"/>
    <n v="48.26"/>
    <x v="0"/>
  </r>
  <r>
    <x v="1"/>
    <n v="6.17"/>
    <n v="55.46"/>
    <x v="0"/>
  </r>
  <r>
    <x v="2"/>
    <n v="5.36"/>
    <n v="53.2"/>
    <x v="0"/>
  </r>
  <r>
    <x v="3"/>
    <n v="5.46"/>
    <n v="47.61"/>
    <x v="0"/>
  </r>
  <r>
    <x v="4"/>
    <n v="9.77"/>
    <n v="81.569999999999993"/>
    <x v="0"/>
  </r>
  <r>
    <x v="5"/>
    <n v="6.96"/>
    <n v="63.5"/>
    <x v="0"/>
  </r>
  <r>
    <x v="6"/>
    <n v="5.64"/>
    <n v="46.17"/>
    <x v="0"/>
  </r>
  <r>
    <x v="7"/>
    <n v="4.5599999999999996"/>
    <n v="46.9"/>
    <x v="0"/>
  </r>
  <r>
    <x v="8"/>
    <n v="5.2"/>
    <n v="39.99"/>
    <x v="0"/>
  </r>
  <r>
    <x v="9"/>
    <n v="6.28"/>
    <n v="58.85"/>
    <x v="0"/>
  </r>
  <r>
    <x v="10"/>
    <n v="6.06"/>
    <n v="55.41"/>
    <x v="0"/>
  </r>
  <r>
    <x v="11"/>
    <n v="6.57"/>
    <n v="64.61"/>
    <x v="0"/>
  </r>
  <r>
    <x v="8"/>
    <n v="4.24"/>
    <n v="45.75"/>
    <x v="0"/>
  </r>
  <r>
    <x v="12"/>
    <n v="8.7100000000000009"/>
    <n v="73.91"/>
    <x v="0"/>
  </r>
  <r>
    <x v="13"/>
    <n v="6.22"/>
    <n v="51.33"/>
    <x v="0"/>
  </r>
  <r>
    <x v="14"/>
    <n v="5.47"/>
    <n v="49.61"/>
    <x v="0"/>
  </r>
  <r>
    <x v="15"/>
    <n v="9.98"/>
    <n v="83.73"/>
    <x v="0"/>
  </r>
  <r>
    <x v="16"/>
    <n v="5.39"/>
    <n v="44.63"/>
    <x v="0"/>
  </r>
  <r>
    <x v="17"/>
    <n v="9.9499999999999993"/>
    <n v="80.989999999999995"/>
    <x v="0"/>
  </r>
  <r>
    <x v="18"/>
    <n v="9.23"/>
    <n v="74.239999999999995"/>
    <x v="0"/>
  </r>
  <r>
    <x v="19"/>
    <n v="8.39"/>
    <n v="72.72"/>
    <x v="0"/>
  </r>
  <r>
    <x v="20"/>
    <n v="5.41"/>
    <n v="44.6"/>
    <x v="0"/>
  </r>
  <r>
    <x v="17"/>
    <n v="7.45"/>
    <n v="57.16"/>
    <x v="0"/>
  </r>
  <r>
    <x v="21"/>
    <n v="5.03"/>
    <n v="41.59"/>
    <x v="0"/>
  </r>
  <r>
    <x v="9"/>
    <n v="5.15"/>
    <n v="52.61"/>
    <x v="0"/>
  </r>
  <r>
    <x v="17"/>
    <n v="6.43"/>
    <n v="54.95"/>
    <x v="0"/>
  </r>
  <r>
    <x v="14"/>
    <n v="8.93"/>
    <n v="72.44"/>
    <x v="0"/>
  </r>
  <r>
    <x v="22"/>
    <n v="8.44"/>
    <n v="68.91"/>
    <x v="0"/>
  </r>
  <r>
    <x v="23"/>
    <n v="8.92"/>
    <n v="77.150000000000006"/>
    <x v="0"/>
  </r>
  <r>
    <x v="24"/>
    <n v="5.47"/>
    <n v="44.4"/>
    <x v="0"/>
  </r>
  <r>
    <x v="25"/>
    <n v="7.28"/>
    <n v="62.93"/>
    <x v="0"/>
  </r>
  <r>
    <x v="7"/>
    <n v="4.84"/>
    <n v="37.46"/>
    <x v="0"/>
  </r>
  <r>
    <x v="16"/>
    <n v="7.6"/>
    <n v="73.75"/>
    <x v="0"/>
  </r>
  <r>
    <x v="26"/>
    <n v="9.07"/>
    <n v="67.150000000000006"/>
    <x v="0"/>
  </r>
  <r>
    <x v="27"/>
    <n v="9.91"/>
    <n v="77.400000000000006"/>
    <x v="0"/>
  </r>
  <r>
    <x v="23"/>
    <n v="6.38"/>
    <n v="63.51"/>
    <x v="0"/>
  </r>
  <r>
    <x v="13"/>
    <n v="5.63"/>
    <n v="51.14"/>
    <x v="0"/>
  </r>
  <r>
    <x v="28"/>
    <n v="8.7200000000000006"/>
    <n v="70.61"/>
    <x v="0"/>
  </r>
  <r>
    <x v="23"/>
    <n v="4.55"/>
    <n v="44.23"/>
    <x v="0"/>
  </r>
  <r>
    <x v="23"/>
    <n v="6.55"/>
    <n v="50.83"/>
    <x v="0"/>
  </r>
  <r>
    <x v="29"/>
    <n v="4.1500000000000004"/>
    <n v="45.83"/>
    <x v="0"/>
  </r>
  <r>
    <x v="30"/>
    <n v="6.41"/>
    <n v="45.66"/>
    <x v="0"/>
  </r>
  <r>
    <x v="31"/>
    <n v="7.52"/>
    <n v="54.57"/>
    <x v="0"/>
  </r>
  <r>
    <x v="0"/>
    <n v="5.91"/>
    <n v="56.36"/>
    <x v="0"/>
  </r>
  <r>
    <x v="30"/>
    <n v="8.31"/>
    <n v="64.02"/>
    <x v="0"/>
  </r>
  <r>
    <x v="15"/>
    <n v="9.59"/>
    <n v="71.150000000000006"/>
    <x v="0"/>
  </r>
  <r>
    <x v="26"/>
    <n v="4.88"/>
    <n v="46.33"/>
    <x v="0"/>
  </r>
  <r>
    <x v="16"/>
    <n v="7.21"/>
    <n v="52.08"/>
    <x v="0"/>
  </r>
  <r>
    <x v="32"/>
    <n v="9.93"/>
    <n v="80.16"/>
    <x v="0"/>
  </r>
  <r>
    <x v="23"/>
    <n v="9.6"/>
    <n v="79.55"/>
    <x v="0"/>
  </r>
  <r>
    <x v="24"/>
    <n v="9.02"/>
    <n v="78.27"/>
    <x v="0"/>
  </r>
  <r>
    <x v="16"/>
    <n v="5.34"/>
    <n v="51.69"/>
    <x v="0"/>
  </r>
  <r>
    <x v="16"/>
    <n v="9.49"/>
    <n v="80.47"/>
    <x v="0"/>
  </r>
  <r>
    <x v="4"/>
    <n v="7.98"/>
    <n v="66.28"/>
    <x v="0"/>
  </r>
  <r>
    <x v="23"/>
    <n v="7.33"/>
    <n v="57"/>
    <x v="0"/>
  </r>
  <r>
    <x v="11"/>
    <n v="7.59"/>
    <n v="58.01"/>
    <x v="0"/>
  </r>
  <r>
    <x v="33"/>
    <n v="6.82"/>
    <n v="52.3"/>
    <x v="0"/>
  </r>
  <r>
    <x v="34"/>
    <n v="4.17"/>
    <n v="38.17"/>
    <x v="0"/>
  </r>
  <r>
    <x v="35"/>
    <n v="4.4800000000000004"/>
    <n v="38.24"/>
    <x v="0"/>
  </r>
  <r>
    <x v="19"/>
    <n v="9.1999999999999993"/>
    <n v="76.39"/>
    <x v="0"/>
  </r>
  <r>
    <x v="36"/>
    <n v="8.14"/>
    <n v="63.07"/>
    <x v="0"/>
  </r>
  <r>
    <x v="37"/>
    <n v="6.76"/>
    <n v="59.39"/>
    <x v="0"/>
  </r>
  <r>
    <x v="12"/>
    <n v="4.59"/>
    <n v="44.25"/>
    <x v="0"/>
  </r>
  <r>
    <x v="38"/>
    <n v="8.8000000000000007"/>
    <n v="68.760000000000005"/>
    <x v="0"/>
  </r>
  <r>
    <x v="24"/>
    <n v="6.59"/>
    <n v="52.87"/>
    <x v="0"/>
  </r>
  <r>
    <x v="33"/>
    <n v="4.57"/>
    <n v="40.86"/>
    <x v="0"/>
  </r>
  <r>
    <x v="8"/>
    <n v="6.97"/>
    <n v="58.86"/>
    <x v="0"/>
  </r>
  <r>
    <x v="39"/>
    <n v="6.82"/>
    <n v="55.6"/>
    <x v="0"/>
  </r>
  <r>
    <x v="21"/>
    <n v="5.56"/>
    <n v="43.2"/>
    <x v="0"/>
  </r>
  <r>
    <x v="16"/>
    <n v="5.29"/>
    <n v="46.77"/>
    <x v="0"/>
  </r>
  <r>
    <x v="3"/>
    <n v="6.64"/>
    <n v="52.51"/>
    <x v="0"/>
  </r>
  <r>
    <x v="17"/>
    <n v="7.75"/>
    <n v="54.28"/>
    <x v="0"/>
  </r>
  <r>
    <x v="40"/>
    <n v="6.99"/>
    <n v="54.32"/>
    <x v="0"/>
  </r>
  <r>
    <x v="30"/>
    <n v="7.31"/>
    <n v="57.02"/>
    <x v="0"/>
  </r>
  <r>
    <x v="35"/>
    <n v="8.6"/>
    <n v="68.48"/>
    <x v="0"/>
  </r>
  <r>
    <x v="41"/>
    <n v="4.93"/>
    <n v="43.97"/>
    <x v="0"/>
  </r>
  <r>
    <x v="35"/>
    <n v="4.05"/>
    <n v="47.74"/>
    <x v="0"/>
  </r>
  <r>
    <x v="42"/>
    <n v="9.0500000000000007"/>
    <n v="77.84"/>
    <x v="0"/>
  </r>
  <r>
    <x v="8"/>
    <n v="5.77"/>
    <n v="46.76"/>
    <x v="0"/>
  </r>
  <r>
    <x v="36"/>
    <n v="7.37"/>
    <n v="69.61"/>
    <x v="0"/>
  </r>
  <r>
    <x v="42"/>
    <n v="6.34"/>
    <n v="52.36"/>
    <x v="0"/>
  </r>
  <r>
    <x v="18"/>
    <n v="5.14"/>
    <n v="46.8"/>
    <x v="0"/>
  </r>
  <r>
    <x v="25"/>
    <n v="5.43"/>
    <n v="39.72"/>
    <x v="0"/>
  </r>
  <r>
    <x v="42"/>
    <n v="8.98"/>
    <n v="72.540000000000006"/>
    <x v="0"/>
  </r>
  <r>
    <x v="17"/>
    <n v="8.9600000000000009"/>
    <n v="79.349999999999994"/>
    <x v="0"/>
  </r>
  <r>
    <x v="33"/>
    <n v="7.34"/>
    <n v="56.7"/>
    <x v="0"/>
  </r>
  <r>
    <x v="7"/>
    <n v="6.81"/>
    <n v="64.599999999999994"/>
    <x v="0"/>
  </r>
  <r>
    <x v="35"/>
    <n v="7.9"/>
    <n v="65.95"/>
    <x v="0"/>
  </r>
  <r>
    <x v="43"/>
    <n v="6.69"/>
    <n v="57.47"/>
    <x v="0"/>
  </r>
  <r>
    <x v="43"/>
    <n v="7.21"/>
    <n v="56.66"/>
    <x v="0"/>
  </r>
  <r>
    <x v="0"/>
    <n v="9.15"/>
    <n v="69.040000000000006"/>
    <x v="0"/>
  </r>
  <r>
    <x v="20"/>
    <n v="4.17"/>
    <n v="39.58"/>
    <x v="0"/>
  </r>
  <r>
    <x v="26"/>
    <n v="7.37"/>
    <n v="57.9"/>
    <x v="0"/>
  </r>
  <r>
    <x v="42"/>
    <n v="7.52"/>
    <n v="63.74"/>
    <x v="0"/>
  </r>
  <r>
    <x v="35"/>
    <n v="4.66"/>
    <n v="38.69"/>
    <x v="0"/>
  </r>
  <r>
    <x v="39"/>
    <n v="8.64"/>
    <n v="65.87"/>
    <x v="0"/>
  </r>
  <r>
    <x v="36"/>
    <n v="7.31"/>
    <n v="62.13"/>
    <x v="0"/>
  </r>
  <r>
    <x v="39"/>
    <n v="5.38"/>
    <n v="50.46"/>
    <x v="0"/>
  </r>
  <r>
    <x v="19"/>
    <n v="8.1"/>
    <n v="77.16"/>
    <x v="0"/>
  </r>
  <r>
    <x v="19"/>
    <n v="6.06"/>
    <n v="52.84"/>
    <x v="0"/>
  </r>
  <r>
    <x v="29"/>
    <n v="9.8699999999999992"/>
    <n v="84.28"/>
    <x v="0"/>
  </r>
  <r>
    <x v="44"/>
    <n v="4.7"/>
    <n v="44.37"/>
    <x v="0"/>
  </r>
  <r>
    <x v="23"/>
    <n v="5.87"/>
    <n v="57.43"/>
    <x v="0"/>
  </r>
  <r>
    <x v="44"/>
    <n v="4.84"/>
    <n v="45.31"/>
    <x v="0"/>
  </r>
  <r>
    <x v="36"/>
    <n v="8.6300000000000008"/>
    <n v="68.959999999999994"/>
    <x v="0"/>
  </r>
  <r>
    <x v="39"/>
    <n v="9.94"/>
    <n v="81.680000000000007"/>
    <x v="0"/>
  </r>
  <r>
    <x v="19"/>
    <n v="9.99"/>
    <n v="75.739999999999995"/>
    <x v="0"/>
  </r>
  <r>
    <x v="7"/>
    <n v="5.45"/>
    <n v="52.45"/>
    <x v="0"/>
  </r>
  <r>
    <x v="29"/>
    <n v="8.7200000000000006"/>
    <n v="68.069999999999993"/>
    <x v="0"/>
  </r>
  <r>
    <x v="45"/>
    <n v="4.6399999999999997"/>
    <n v="51.67"/>
    <x v="0"/>
  </r>
  <r>
    <x v="19"/>
    <n v="5.66"/>
    <n v="48.8"/>
    <x v="0"/>
  </r>
  <r>
    <x v="8"/>
    <n v="9.0299999999999994"/>
    <n v="77.069999999999993"/>
    <x v="0"/>
  </r>
  <r>
    <x v="30"/>
    <n v="5.93"/>
    <n v="53.41"/>
    <x v="0"/>
  </r>
  <r>
    <x v="30"/>
    <n v="9.0299999999999994"/>
    <n v="68.260000000000005"/>
    <x v="0"/>
  </r>
  <r>
    <x v="46"/>
    <n v="9.58"/>
    <n v="77.38"/>
    <x v="0"/>
  </r>
  <r>
    <x v="44"/>
    <n v="6.96"/>
    <n v="65.400000000000006"/>
    <x v="0"/>
  </r>
  <r>
    <x v="8"/>
    <n v="8.49"/>
    <n v="62.51"/>
    <x v="0"/>
  </r>
  <r>
    <x v="47"/>
    <n v="7.11"/>
    <n v="55.07"/>
    <x v="0"/>
  </r>
  <r>
    <x v="48"/>
    <n v="5.67"/>
    <n v="50.27"/>
    <x v="0"/>
  </r>
  <r>
    <x v="0"/>
    <n v="4.34"/>
    <n v="35.799999999999997"/>
    <x v="0"/>
  </r>
  <r>
    <x v="41"/>
    <n v="6.72"/>
    <n v="64.55"/>
    <x v="0"/>
  </r>
  <r>
    <x v="41"/>
    <n v="9.18"/>
    <n v="73.87"/>
    <x v="0"/>
  </r>
  <r>
    <x v="49"/>
    <n v="4.32"/>
    <n v="41.82"/>
    <x v="0"/>
  </r>
  <r>
    <x v="33"/>
    <n v="4.28"/>
    <n v="43.18"/>
    <x v="0"/>
  </r>
  <r>
    <x v="11"/>
    <n v="5.0999999999999996"/>
    <n v="47.22"/>
    <x v="0"/>
  </r>
  <r>
    <x v="36"/>
    <n v="6.23"/>
    <n v="53.91"/>
    <x v="0"/>
  </r>
  <r>
    <x v="41"/>
    <n v="6.45"/>
    <n v="59.74"/>
    <x v="0"/>
  </r>
  <r>
    <x v="23"/>
    <n v="9.73"/>
    <n v="74.14"/>
    <x v="0"/>
  </r>
  <r>
    <x v="1"/>
    <n v="4.1399999999999997"/>
    <n v="36.58"/>
    <x v="1"/>
  </r>
  <r>
    <x v="35"/>
    <n v="9.2799999999999994"/>
    <n v="76.55"/>
    <x v="0"/>
  </r>
  <r>
    <x v="43"/>
    <n v="6.76"/>
    <n v="37.07"/>
    <x v="0"/>
  </r>
  <r>
    <x v="4"/>
    <n v="6.16"/>
    <n v="71.33"/>
    <x v="0"/>
  </r>
  <r>
    <x v="33"/>
    <n v="8.2200000000000006"/>
    <n v="80.31"/>
    <x v="0"/>
  </r>
  <r>
    <x v="47"/>
    <n v="6.16"/>
    <n v="70.489999999999995"/>
    <x v="0"/>
  </r>
  <r>
    <x v="23"/>
    <n v="7.22"/>
    <n v="28.75"/>
    <x v="0"/>
  </r>
  <r>
    <x v="38"/>
    <n v="8.6"/>
    <n v="43.95"/>
    <x v="0"/>
  </r>
  <r>
    <x v="9"/>
    <n v="7.95"/>
    <n v="85.03"/>
    <x v="0"/>
  </r>
  <r>
    <x v="17"/>
    <n v="4.4400000000000004"/>
    <n v="76.47"/>
    <x v="0"/>
  </r>
  <r>
    <x v="43"/>
    <n v="9.75"/>
    <n v="51.12"/>
    <x v="0"/>
  </r>
  <r>
    <x v="22"/>
    <n v="9.07"/>
    <n v="68.02"/>
    <x v="0"/>
  </r>
  <r>
    <x v="39"/>
    <n v="4.93"/>
    <n v="65.16"/>
    <x v="0"/>
  </r>
  <r>
    <x v="36"/>
    <n v="4.76"/>
    <n v="58"/>
    <x v="0"/>
  </r>
  <r>
    <x v="24"/>
    <n v="5.96"/>
    <n v="55.1"/>
    <x v="0"/>
  </r>
  <r>
    <x v="20"/>
    <n v="4.54"/>
    <n v="21.1"/>
    <x v="0"/>
  </r>
  <r>
    <x v="39"/>
    <n v="6.12"/>
    <n v="49.54"/>
    <x v="0"/>
  </r>
  <r>
    <x v="10"/>
    <n v="5.35"/>
    <n v="40.880000000000003"/>
    <x v="0"/>
  </r>
  <r>
    <x v="33"/>
    <n v="8.39"/>
    <n v="27.64"/>
    <x v="0"/>
  </r>
  <r>
    <x v="8"/>
    <n v="9.35"/>
    <n v="96.31"/>
    <x v="0"/>
  </r>
  <r>
    <x v="35"/>
    <n v="5.0599999999999996"/>
    <n v="96.03"/>
    <x v="0"/>
  </r>
  <r>
    <x v="9"/>
    <n v="7.18"/>
    <n v="77.290000000000006"/>
    <x v="0"/>
  </r>
  <r>
    <x v="32"/>
    <n v="7.22"/>
    <n v="61.92"/>
    <x v="0"/>
  </r>
  <r>
    <x v="21"/>
    <n v="9.27"/>
    <n v="63.57"/>
    <x v="0"/>
  </r>
  <r>
    <x v="50"/>
    <n v="9.9600000000000009"/>
    <n v="78.3"/>
    <x v="0"/>
  </r>
  <r>
    <x v="21"/>
    <n v="4.68"/>
    <n v="50.07"/>
    <x v="0"/>
  </r>
  <r>
    <x v="39"/>
    <n v="5.15"/>
    <n v="51.35"/>
    <x v="0"/>
  </r>
  <r>
    <x v="0"/>
    <n v="9.65"/>
    <n v="53.41"/>
    <x v="0"/>
  </r>
  <r>
    <x v="41"/>
    <n v="8.61"/>
    <n v="52.91"/>
    <x v="0"/>
  </r>
  <r>
    <x v="36"/>
    <n v="6.21"/>
    <n v="65.28"/>
    <x v="0"/>
  </r>
  <r>
    <x v="26"/>
    <n v="8.3800000000000008"/>
    <n v="100.78"/>
    <x v="0"/>
  </r>
  <r>
    <x v="51"/>
    <n v="6.86"/>
    <n v="74.760000000000005"/>
    <x v="0"/>
  </r>
  <r>
    <x v="44"/>
    <n v="7.7"/>
    <n v="53.96"/>
    <x v="0"/>
  </r>
  <r>
    <x v="14"/>
    <n v="8.02"/>
    <n v="62.53"/>
    <x v="0"/>
  </r>
  <r>
    <x v="36"/>
    <n v="9.2100000000000009"/>
    <n v="83.15"/>
    <x v="0"/>
  </r>
  <r>
    <x v="47"/>
    <n v="8.24"/>
    <n v="76.959999999999994"/>
    <x v="0"/>
  </r>
  <r>
    <x v="44"/>
    <n v="6.63"/>
    <n v="54.57"/>
    <x v="0"/>
  </r>
  <r>
    <x v="0"/>
    <n v="8.2899999999999991"/>
    <n v="115.29"/>
    <x v="0"/>
  </r>
  <r>
    <x v="20"/>
    <n v="8.65"/>
    <n v="88.43"/>
    <x v="0"/>
  </r>
  <r>
    <x v="52"/>
    <n v="9.2100000000000009"/>
    <n v="62.31"/>
    <x v="0"/>
  </r>
  <r>
    <x v="10"/>
    <n v="9.0500000000000007"/>
    <n v="29.32"/>
    <x v="0"/>
  </r>
  <r>
    <x v="13"/>
    <n v="7.71"/>
    <n v="67.36"/>
    <x v="0"/>
  </r>
  <r>
    <x v="33"/>
    <n v="8.75"/>
    <n v="88.53"/>
    <x v="0"/>
  </r>
  <r>
    <x v="16"/>
    <n v="7.97"/>
    <n v="52.97"/>
    <x v="0"/>
  </r>
  <r>
    <x v="52"/>
    <n v="7.59"/>
    <n v="83.57"/>
    <x v="0"/>
  </r>
  <r>
    <x v="20"/>
    <n v="8.18"/>
    <n v="92.48"/>
    <x v="0"/>
  </r>
  <r>
    <x v="44"/>
    <n v="9.25"/>
    <n v="66.709999999999994"/>
    <x v="0"/>
  </r>
  <r>
    <x v="41"/>
    <n v="4.54"/>
    <n v="42.01"/>
    <x v="0"/>
  </r>
  <r>
    <x v="26"/>
    <n v="4.68"/>
    <n v="49.81"/>
    <x v="0"/>
  </r>
  <r>
    <x v="4"/>
    <n v="8.39"/>
    <n v="56.55"/>
    <x v="0"/>
  </r>
  <r>
    <x v="39"/>
    <n v="4.03"/>
    <n v="44.21"/>
    <x v="0"/>
  </r>
  <r>
    <x v="48"/>
    <n v="9.9600000000000009"/>
    <n v="50.61"/>
    <x v="0"/>
  </r>
  <r>
    <x v="41"/>
    <n v="4.1500000000000004"/>
    <n v="60.58"/>
    <x v="0"/>
  </r>
  <r>
    <x v="49"/>
    <n v="7.58"/>
    <n v="44.09"/>
    <x v="0"/>
  </r>
  <r>
    <x v="19"/>
    <n v="7.54"/>
    <n v="75.03"/>
    <x v="0"/>
  </r>
  <r>
    <x v="51"/>
    <n v="5.25"/>
    <n v="44.82"/>
    <x v="0"/>
  </r>
  <r>
    <x v="33"/>
    <n v="7.21"/>
    <n v="86.23"/>
    <x v="0"/>
  </r>
  <r>
    <x v="53"/>
    <n v="9.42"/>
    <n v="75.459999999999994"/>
    <x v="0"/>
  </r>
  <r>
    <x v="20"/>
    <n v="6.68"/>
    <n v="33.049999999999997"/>
    <x v="0"/>
  </r>
  <r>
    <x v="36"/>
    <n v="5.78"/>
    <n v="87.4"/>
    <x v="0"/>
  </r>
  <r>
    <x v="52"/>
    <n v="5.23"/>
    <n v="40.19"/>
    <x v="0"/>
  </r>
  <r>
    <x v="29"/>
    <n v="4.38"/>
    <n v="43.95"/>
    <x v="0"/>
  </r>
  <r>
    <x v="21"/>
    <n v="9.01"/>
    <n v="61.06"/>
    <x v="0"/>
  </r>
  <r>
    <x v="53"/>
    <n v="5.12"/>
    <n v="63.38"/>
    <x v="0"/>
  </r>
  <r>
    <x v="36"/>
    <n v="4.18"/>
    <n v="8"/>
    <x v="0"/>
  </r>
  <r>
    <x v="52"/>
    <n v="6.36"/>
    <n v="67.44"/>
    <x v="0"/>
  </r>
  <r>
    <x v="47"/>
    <n v="4.08"/>
    <n v="82.05"/>
    <x v="0"/>
  </r>
  <r>
    <x v="54"/>
    <n v="8.5399999999999991"/>
    <n v="42.33"/>
    <x v="0"/>
  </r>
  <r>
    <x v="14"/>
    <n v="5.38"/>
    <n v="46.56"/>
    <x v="0"/>
  </r>
  <r>
    <x v="33"/>
    <n v="5.5"/>
    <n v="42.01"/>
    <x v="0"/>
  </r>
  <r>
    <x v="52"/>
    <n v="5.03"/>
    <n v="31.21"/>
    <x v="0"/>
  </r>
  <r>
    <x v="55"/>
    <n v="4.6900000000000004"/>
    <n v="46.24"/>
    <x v="0"/>
  </r>
  <r>
    <x v="20"/>
    <n v="4.34"/>
    <n v="50.33"/>
    <x v="0"/>
  </r>
  <r>
    <x v="13"/>
    <n v="8.93"/>
    <n v="118.54"/>
    <x v="0"/>
  </r>
  <r>
    <x v="17"/>
    <n v="7.91"/>
    <n v="66.209999999999994"/>
    <x v="0"/>
  </r>
  <r>
    <x v="35"/>
    <n v="4.67"/>
    <n v="57.53"/>
    <x v="0"/>
  </r>
  <r>
    <x v="35"/>
    <n v="9.91"/>
    <n v="62.71"/>
    <x v="0"/>
  </r>
  <r>
    <x v="3"/>
    <n v="6.33"/>
    <n v="50.62"/>
    <x v="0"/>
  </r>
  <r>
    <x v="4"/>
    <n v="9.67"/>
    <n v="93.01"/>
    <x v="0"/>
  </r>
  <r>
    <x v="17"/>
    <n v="5.36"/>
    <n v="66.86"/>
    <x v="0"/>
  </r>
  <r>
    <x v="23"/>
    <n v="4.13"/>
    <n v="26.63"/>
    <x v="0"/>
  </r>
  <r>
    <x v="30"/>
    <n v="7.36"/>
    <n v="80.430000000000007"/>
    <x v="0"/>
  </r>
  <r>
    <x v="23"/>
    <n v="9.84"/>
    <n v="108.17"/>
    <x v="1"/>
  </r>
  <r>
    <x v="50"/>
    <n v="6.44"/>
    <n v="95.27"/>
    <x v="0"/>
  </r>
  <r>
    <x v="15"/>
    <n v="4.1399999999999997"/>
    <n v="35.78"/>
    <x v="0"/>
  </r>
  <r>
    <x v="26"/>
    <n v="6.63"/>
    <n v="79.290000000000006"/>
    <x v="0"/>
  </r>
  <r>
    <x v="31"/>
    <n v="7.68"/>
    <n v="70.06"/>
    <x v="0"/>
  </r>
  <r>
    <x v="40"/>
    <n v="8.4700000000000006"/>
    <n v="69.06"/>
    <x v="0"/>
  </r>
  <r>
    <x v="22"/>
    <n v="4.5199999999999996"/>
    <n v="45.92"/>
    <x v="0"/>
  </r>
  <r>
    <x v="6"/>
    <n v="8.39"/>
    <n v="89.98"/>
    <x v="0"/>
  </r>
  <r>
    <x v="16"/>
    <n v="8.86"/>
    <n v="55.5"/>
    <x v="0"/>
  </r>
  <r>
    <x v="45"/>
    <n v="9.4600000000000009"/>
    <n v="90.99"/>
    <x v="0"/>
  </r>
  <r>
    <x v="48"/>
    <n v="6.5"/>
    <n v="76.010000000000005"/>
    <x v="0"/>
  </r>
  <r>
    <x v="44"/>
    <n v="6.63"/>
    <n v="34.28"/>
    <x v="0"/>
  </r>
  <r>
    <x v="33"/>
    <n v="8.56"/>
    <n v="103.65"/>
    <x v="1"/>
  </r>
  <r>
    <x v="40"/>
    <n v="9.19"/>
    <n v="72.56"/>
    <x v="0"/>
  </r>
  <r>
    <x v="20"/>
    <n v="4.1500000000000004"/>
    <n v="49.27"/>
    <x v="0"/>
  </r>
  <r>
    <x v="46"/>
    <n v="6.09"/>
    <n v="65.209999999999994"/>
    <x v="0"/>
  </r>
  <r>
    <x v="16"/>
    <n v="7.41"/>
    <n v="86.46"/>
    <x v="0"/>
  </r>
  <r>
    <x v="48"/>
    <n v="5.47"/>
    <n v="45.76"/>
    <x v="0"/>
  </r>
  <r>
    <x v="23"/>
    <n v="4.6500000000000004"/>
    <n v="30.74"/>
    <x v="0"/>
  </r>
  <r>
    <x v="26"/>
    <n v="7.69"/>
    <n v="81.08"/>
    <x v="0"/>
  </r>
  <r>
    <x v="33"/>
    <n v="4.75"/>
    <n v="51"/>
    <x v="0"/>
  </r>
  <r>
    <x v="18"/>
    <n v="8.68"/>
    <n v="67.36"/>
    <x v="0"/>
  </r>
  <r>
    <x v="40"/>
    <n v="7.6"/>
    <n v="50.29"/>
    <x v="0"/>
  </r>
  <r>
    <x v="41"/>
    <n v="9.2200000000000006"/>
    <n v="83.76"/>
    <x v="0"/>
  </r>
  <r>
    <x v="43"/>
    <n v="5.46"/>
    <n v="21.46"/>
    <x v="0"/>
  </r>
  <r>
    <x v="19"/>
    <n v="4.3"/>
    <n v="52.51"/>
    <x v="0"/>
  </r>
  <r>
    <x v="5"/>
    <n v="4.4400000000000004"/>
    <n v="24.63"/>
    <x v="0"/>
  </r>
  <r>
    <x v="42"/>
    <n v="4.68"/>
    <n v="9.23"/>
    <x v="0"/>
  </r>
  <r>
    <x v="56"/>
    <n v="8.5500000000000007"/>
    <n v="39.17"/>
    <x v="0"/>
  </r>
  <r>
    <x v="48"/>
    <n v="4.3"/>
    <n v="50.74"/>
    <x v="0"/>
  </r>
  <r>
    <x v="31"/>
    <n v="7.06"/>
    <n v="86.68"/>
    <x v="0"/>
  </r>
  <r>
    <x v="35"/>
    <n v="8.65"/>
    <n v="79.790000000000006"/>
    <x v="0"/>
  </r>
  <r>
    <x v="24"/>
    <n v="7.38"/>
    <n v="26.08"/>
    <x v="0"/>
  </r>
  <r>
    <x v="13"/>
    <n v="8.1199999999999992"/>
    <n v="72.25"/>
    <x v="0"/>
  </r>
  <r>
    <x v="29"/>
    <n v="5.7"/>
    <n v="49.24"/>
    <x v="0"/>
  </r>
  <r>
    <x v="8"/>
    <n v="9.99"/>
    <n v="78.39"/>
    <x v="0"/>
  </r>
  <r>
    <x v="34"/>
    <n v="5.34"/>
    <n v="70.22"/>
    <x v="0"/>
  </r>
  <r>
    <x v="25"/>
    <n v="8.2200000000000006"/>
    <n v="60.49"/>
    <x v="0"/>
  </r>
  <r>
    <x v="42"/>
    <n v="4.78"/>
    <n v="62.92"/>
    <x v="0"/>
  </r>
  <r>
    <x v="18"/>
    <n v="7.05"/>
    <n v="48.83"/>
    <x v="0"/>
  </r>
  <r>
    <x v="23"/>
    <n v="4.83"/>
    <n v="39.82"/>
    <x v="1"/>
  </r>
  <r>
    <x v="29"/>
    <n v="7.66"/>
    <n v="69.86"/>
    <x v="1"/>
  </r>
  <r>
    <x v="47"/>
    <n v="7.88"/>
    <n v="67.95"/>
    <x v="1"/>
  </r>
  <r>
    <x v="1"/>
    <n v="5.58"/>
    <n v="50.66"/>
    <x v="1"/>
  </r>
  <r>
    <x v="4"/>
    <n v="4.32"/>
    <n v="31.48"/>
    <x v="1"/>
  </r>
  <r>
    <x v="47"/>
    <n v="5.2"/>
    <n v="37.39"/>
    <x v="1"/>
  </r>
  <r>
    <x v="25"/>
    <n v="4.04"/>
    <n v="51.67"/>
    <x v="1"/>
  </r>
  <r>
    <x v="47"/>
    <n v="4.7699999999999996"/>
    <n v="43.81"/>
    <x v="1"/>
  </r>
  <r>
    <x v="51"/>
    <n v="8.34"/>
    <n v="70.430000000000007"/>
    <x v="1"/>
  </r>
  <r>
    <x v="9"/>
    <n v="9.3800000000000008"/>
    <n v="79.900000000000006"/>
    <x v="1"/>
  </r>
  <r>
    <x v="6"/>
    <n v="9.66"/>
    <n v="63.34"/>
    <x v="1"/>
  </r>
  <r>
    <x v="46"/>
    <n v="4"/>
    <n v="30.62"/>
    <x v="1"/>
  </r>
  <r>
    <x v="33"/>
    <n v="7.31"/>
    <n v="51.36"/>
    <x v="1"/>
  </r>
  <r>
    <x v="51"/>
    <n v="7.45"/>
    <n v="62.85"/>
    <x v="1"/>
  </r>
  <r>
    <x v="10"/>
    <n v="9.66"/>
    <n v="55.39"/>
    <x v="1"/>
  </r>
  <r>
    <x v="33"/>
    <n v="9.24"/>
    <n v="91.7"/>
    <x v="1"/>
  </r>
  <r>
    <x v="52"/>
    <n v="4.5"/>
    <n v="64.67"/>
    <x v="1"/>
  </r>
  <r>
    <x v="11"/>
    <n v="7.3"/>
    <n v="66.13"/>
    <x v="1"/>
  </r>
  <r>
    <x v="13"/>
    <n v="5.44"/>
    <n v="47.04"/>
    <x v="1"/>
  </r>
  <r>
    <x v="9"/>
    <n v="8.1199999999999992"/>
    <n v="35.380000000000003"/>
    <x v="1"/>
  </r>
  <r>
    <x v="44"/>
    <n v="9.7799999999999994"/>
    <n v="109.79"/>
    <x v="1"/>
  </r>
  <r>
    <x v="41"/>
    <n v="6.15"/>
    <n v="48.99"/>
    <x v="1"/>
  </r>
  <r>
    <x v="31"/>
    <n v="7.33"/>
    <n v="84.13"/>
    <x v="1"/>
  </r>
  <r>
    <x v="39"/>
    <n v="5.59"/>
    <n v="58.41"/>
    <x v="1"/>
  </r>
  <r>
    <x v="13"/>
    <n v="5.0999999999999996"/>
    <n v="38.1"/>
    <x v="1"/>
  </r>
  <r>
    <x v="9"/>
    <n v="7.73"/>
    <n v="66.22"/>
    <x v="1"/>
  </r>
  <r>
    <x v="57"/>
    <n v="9.74"/>
    <n v="89.32"/>
    <x v="1"/>
  </r>
  <r>
    <x v="42"/>
    <n v="7.33"/>
    <n v="71.599999999999994"/>
    <x v="1"/>
  </r>
  <r>
    <x v="33"/>
    <n v="9.8800000000000008"/>
    <n v="51.89"/>
    <x v="1"/>
  </r>
  <r>
    <x v="17"/>
    <n v="8.17"/>
    <n v="65.260000000000005"/>
    <x v="1"/>
  </r>
  <r>
    <x v="31"/>
    <n v="6.71"/>
    <n v="70.739999999999995"/>
    <x v="1"/>
  </r>
  <r>
    <x v="35"/>
    <n v="6.85"/>
    <n v="62.56"/>
    <x v="1"/>
  </r>
  <r>
    <x v="22"/>
    <n v="5.61"/>
    <n v="83.08"/>
    <x v="1"/>
  </r>
  <r>
    <x v="40"/>
    <n v="8.6199999999999992"/>
    <n v="71.040000000000006"/>
    <x v="1"/>
  </r>
  <r>
    <x v="7"/>
    <n v="6.73"/>
    <n v="44.64"/>
    <x v="1"/>
  </r>
  <r>
    <x v="41"/>
    <n v="8.27"/>
    <n v="46.56"/>
    <x v="1"/>
  </r>
  <r>
    <x v="21"/>
    <n v="7"/>
    <n v="38.090000000000003"/>
    <x v="1"/>
  </r>
  <r>
    <x v="37"/>
    <n v="6.69"/>
    <n v="66.430000000000007"/>
    <x v="1"/>
  </r>
  <r>
    <x v="45"/>
    <n v="7.76"/>
    <n v="36.99"/>
    <x v="1"/>
  </r>
  <r>
    <x v="28"/>
    <n v="8.0500000000000007"/>
    <n v="99.96"/>
    <x v="1"/>
  </r>
  <r>
    <x v="48"/>
    <n v="6.81"/>
    <n v="70.040000000000006"/>
    <x v="1"/>
  </r>
  <r>
    <x v="35"/>
    <n v="9.31"/>
    <n v="77.760000000000005"/>
    <x v="1"/>
  </r>
  <r>
    <x v="44"/>
    <n v="4.1100000000000003"/>
    <n v="36.31"/>
    <x v="1"/>
  </r>
  <r>
    <x v="19"/>
    <n v="7.57"/>
    <n v="73.78"/>
    <x v="1"/>
  </r>
  <r>
    <x v="41"/>
    <n v="8.44"/>
    <n v="64.36"/>
    <x v="1"/>
  </r>
  <r>
    <x v="30"/>
    <n v="7.69"/>
    <n v="57.42"/>
    <x v="1"/>
  </r>
  <r>
    <x v="30"/>
    <n v="5.88"/>
    <n v="63.1"/>
    <x v="1"/>
  </r>
  <r>
    <x v="20"/>
    <n v="7.55"/>
    <n v="92.22"/>
    <x v="1"/>
  </r>
  <r>
    <x v="35"/>
    <n v="5.61"/>
    <n v="63.19"/>
    <x v="1"/>
  </r>
  <r>
    <x v="36"/>
    <n v="5.3"/>
    <n v="30.67"/>
    <x v="1"/>
  </r>
  <r>
    <x v="23"/>
    <n v="8.94"/>
    <n v="49.92"/>
    <x v="1"/>
  </r>
  <r>
    <x v="16"/>
    <n v="4.1399999999999997"/>
    <n v="22.54"/>
    <x v="1"/>
  </r>
  <r>
    <x v="30"/>
    <n v="6.68"/>
    <n v="74.41"/>
    <x v="1"/>
  </r>
  <r>
    <x v="26"/>
    <n v="8.08"/>
    <n v="53.62"/>
    <x v="1"/>
  </r>
  <r>
    <x v="26"/>
    <n v="6.33"/>
    <n v="47.69"/>
    <x v="1"/>
  </r>
  <r>
    <x v="0"/>
    <n v="9.99"/>
    <n v="64.83"/>
    <x v="1"/>
  </r>
  <r>
    <x v="53"/>
    <n v="5.83"/>
    <n v="56.59"/>
    <x v="1"/>
  </r>
  <r>
    <x v="45"/>
    <n v="8.5399999999999991"/>
    <n v="86.36"/>
    <x v="1"/>
  </r>
  <r>
    <x v="41"/>
    <n v="7.18"/>
    <n v="22.58"/>
    <x v="1"/>
  </r>
  <r>
    <x v="57"/>
    <n v="8.8000000000000007"/>
    <n v="115.37"/>
    <x v="1"/>
  </r>
  <r>
    <x v="26"/>
    <n v="9.33"/>
    <n v="84.48"/>
    <x v="1"/>
  </r>
  <r>
    <x v="15"/>
    <n v="8.98"/>
    <n v="47.37"/>
    <x v="1"/>
  </r>
  <r>
    <x v="19"/>
    <n v="6.84"/>
    <n v="81.88"/>
    <x v="1"/>
  </r>
  <r>
    <x v="25"/>
    <n v="7.66"/>
    <n v="69.099999999999994"/>
    <x v="1"/>
  </r>
  <r>
    <x v="7"/>
    <n v="7.93"/>
    <n v="53.17"/>
    <x v="1"/>
  </r>
  <r>
    <x v="35"/>
    <n v="4"/>
    <n v="58.99"/>
    <x v="1"/>
  </r>
  <r>
    <x v="4"/>
    <n v="5.97"/>
    <n v="49.48"/>
    <x v="1"/>
  </r>
  <r>
    <x v="32"/>
    <n v="5.45"/>
    <n v="53"/>
    <x v="1"/>
  </r>
  <r>
    <x v="30"/>
    <n v="4.78"/>
    <n v="76.27"/>
    <x v="1"/>
  </r>
  <r>
    <x v="46"/>
    <n v="5.53"/>
    <n v="61.26"/>
    <x v="1"/>
  </r>
  <r>
    <x v="10"/>
    <n v="9.17"/>
    <n v="59.62"/>
    <x v="1"/>
  </r>
  <r>
    <x v="26"/>
    <n v="5.05"/>
    <n v="74.09"/>
    <x v="1"/>
  </r>
  <r>
    <x v="41"/>
    <n v="8.6"/>
    <n v="42.69"/>
    <x v="1"/>
  </r>
  <r>
    <x v="11"/>
    <n v="6.41"/>
    <n v="26.77"/>
    <x v="1"/>
  </r>
  <r>
    <x v="15"/>
    <n v="9.25"/>
    <n v="82.31"/>
    <x v="1"/>
  </r>
  <r>
    <x v="46"/>
    <n v="6.78"/>
    <n v="73.25"/>
    <x v="1"/>
  </r>
  <r>
    <x v="47"/>
    <n v="5.42"/>
    <n v="35.58"/>
    <x v="1"/>
  </r>
  <r>
    <x v="4"/>
    <n v="7.37"/>
    <n v="19.02"/>
    <x v="1"/>
  </r>
  <r>
    <x v="15"/>
    <n v="4.96"/>
    <n v="76.37"/>
    <x v="1"/>
  </r>
  <r>
    <x v="58"/>
    <n v="7.27"/>
    <n v="64.69"/>
    <x v="1"/>
  </r>
  <r>
    <x v="57"/>
    <n v="6.31"/>
    <n v="21.73"/>
    <x v="1"/>
  </r>
  <r>
    <x v="36"/>
    <n v="8.91"/>
    <n v="47.3"/>
    <x v="1"/>
  </r>
  <r>
    <x v="16"/>
    <n v="9.8699999999999992"/>
    <n v="77.92"/>
    <x v="1"/>
  </r>
  <r>
    <x v="25"/>
    <n v="4.24"/>
    <n v="57.95"/>
    <x v="1"/>
  </r>
  <r>
    <x v="58"/>
    <n v="4.2"/>
    <n v="44.29"/>
    <x v="1"/>
  </r>
  <r>
    <x v="26"/>
    <n v="5.58"/>
    <n v="74.44"/>
    <x v="1"/>
  </r>
  <r>
    <x v="48"/>
    <n v="5.68"/>
    <n v="47.5"/>
    <x v="1"/>
  </r>
  <r>
    <x v="15"/>
    <n v="9.69"/>
    <n v="100.72"/>
    <x v="1"/>
  </r>
  <r>
    <x v="8"/>
    <n v="8.11"/>
    <n v="81.53"/>
    <x v="1"/>
  </r>
  <r>
    <x v="30"/>
    <n v="5.0999999999999996"/>
    <n v="58.17"/>
    <x v="1"/>
  </r>
  <r>
    <x v="30"/>
    <n v="8.35"/>
    <n v="41.23"/>
    <x v="1"/>
  </r>
  <r>
    <x v="18"/>
    <n v="5.74"/>
    <n v="77.319999999999993"/>
    <x v="1"/>
  </r>
  <r>
    <x v="25"/>
    <n v="6.85"/>
    <n v="54.74"/>
    <x v="1"/>
  </r>
  <r>
    <x v="17"/>
    <n v="9.5"/>
    <n v="47.91"/>
    <x v="1"/>
  </r>
  <r>
    <x v="46"/>
    <n v="5.86"/>
    <n v="77.989999999999995"/>
    <x v="1"/>
  </r>
  <r>
    <x v="44"/>
    <n v="6.5"/>
    <n v="44.27"/>
    <x v="1"/>
  </r>
  <r>
    <x v="50"/>
    <n v="8.7899999999999991"/>
    <n v="91.53"/>
    <x v="1"/>
  </r>
  <r>
    <x v="8"/>
    <n v="6.71"/>
    <n v="40.14"/>
    <x v="1"/>
  </r>
  <r>
    <x v="43"/>
    <n v="7.27"/>
    <n v="62.96"/>
    <x v="1"/>
  </r>
  <r>
    <x v="24"/>
    <n v="6.91"/>
    <n v="76.37"/>
    <x v="1"/>
  </r>
  <r>
    <x v="8"/>
    <n v="6.94"/>
    <n v="85.29"/>
    <x v="1"/>
  </r>
  <r>
    <x v="10"/>
    <n v="5.24"/>
    <n v="42.46"/>
    <x v="1"/>
  </r>
  <r>
    <x v="48"/>
    <n v="4.4400000000000004"/>
    <n v="34.409999999999997"/>
    <x v="1"/>
  </r>
  <r>
    <x v="16"/>
    <n v="7.58"/>
    <n v="54.71"/>
    <x v="1"/>
  </r>
  <r>
    <x v="0"/>
    <n v="9.0399999999999991"/>
    <n v="89.08"/>
    <x v="1"/>
  </r>
  <r>
    <x v="30"/>
    <n v="7.84"/>
    <n v="63.91"/>
    <x v="1"/>
  </r>
  <r>
    <x v="35"/>
    <n v="5.18"/>
    <n v="59.17"/>
    <x v="1"/>
  </r>
  <r>
    <x v="32"/>
    <n v="8.14"/>
    <n v="74.739999999999995"/>
    <x v="1"/>
  </r>
  <r>
    <x v="48"/>
    <n v="9.57"/>
    <n v="80.03"/>
    <x v="1"/>
  </r>
  <r>
    <x v="59"/>
    <n v="6.51"/>
    <n v="67.02"/>
    <x v="1"/>
  </r>
  <r>
    <x v="38"/>
    <n v="8.65"/>
    <n v="91.16"/>
    <x v="1"/>
  </r>
  <r>
    <x v="29"/>
    <n v="6.09"/>
    <n v="55.31"/>
    <x v="1"/>
  </r>
  <r>
    <x v="11"/>
    <n v="7.79"/>
    <n v="34.770000000000003"/>
    <x v="1"/>
  </r>
  <r>
    <x v="60"/>
    <n v="5.58"/>
    <n v="24.34"/>
    <x v="1"/>
  </r>
  <r>
    <x v="57"/>
    <n v="8.68"/>
    <n v="89.26"/>
    <x v="1"/>
  </r>
  <r>
    <x v="33"/>
    <n v="7.81"/>
    <n v="44.39"/>
    <x v="1"/>
  </r>
  <r>
    <x v="44"/>
    <n v="5.22"/>
    <n v="28.76"/>
    <x v="1"/>
  </r>
  <r>
    <x v="9"/>
    <n v="8.6"/>
    <n v="84.49"/>
    <x v="1"/>
  </r>
  <r>
    <x v="6"/>
    <n v="4.22"/>
    <n v="52.93"/>
    <x v="1"/>
  </r>
  <r>
    <x v="43"/>
    <n v="6.95"/>
    <n v="87.42"/>
    <x v="1"/>
  </r>
  <r>
    <x v="36"/>
    <n v="6.82"/>
    <n v="51.97"/>
    <x v="1"/>
  </r>
  <r>
    <x v="7"/>
    <n v="9.06"/>
    <n v="67.66"/>
    <x v="1"/>
  </r>
  <r>
    <x v="48"/>
    <n v="6.7"/>
    <n v="47.74"/>
    <x v="1"/>
  </r>
  <r>
    <x v="19"/>
    <n v="4.0199999999999996"/>
    <n v="70"/>
    <x v="1"/>
  </r>
  <r>
    <x v="15"/>
    <n v="9.5299999999999994"/>
    <n v="73.02"/>
    <x v="1"/>
  </r>
  <r>
    <x v="0"/>
    <n v="6.49"/>
    <n v="63.52"/>
    <x v="1"/>
  </r>
  <r>
    <x v="21"/>
    <n v="8.85"/>
    <n v="66.16"/>
    <x v="1"/>
  </r>
  <r>
    <x v="24"/>
    <n v="6.27"/>
    <n v="59.31"/>
    <x v="1"/>
  </r>
  <r>
    <x v="60"/>
    <n v="6.18"/>
    <n v="31.57"/>
    <x v="1"/>
  </r>
  <r>
    <x v="57"/>
    <n v="8"/>
    <n v="62.46"/>
    <x v="1"/>
  </r>
  <r>
    <x v="22"/>
    <n v="6.96"/>
    <n v="61.19"/>
    <x v="1"/>
  </r>
  <r>
    <x v="26"/>
    <n v="9.56"/>
    <n v="67.12"/>
    <x v="1"/>
  </r>
  <r>
    <x v="12"/>
    <n v="6.06"/>
    <n v="54.51"/>
    <x v="1"/>
  </r>
  <r>
    <x v="10"/>
    <n v="7.7"/>
    <n v="61.02"/>
    <x v="1"/>
  </r>
  <r>
    <x v="44"/>
    <n v="5.05"/>
    <n v="73.69"/>
    <x v="1"/>
  </r>
  <r>
    <x v="57"/>
    <n v="7.38"/>
    <n v="75.75"/>
    <x v="1"/>
  </r>
  <r>
    <x v="46"/>
    <n v="6.23"/>
    <n v="36.51"/>
    <x v="1"/>
  </r>
  <r>
    <x v="57"/>
    <n v="7.19"/>
    <n v="48.4"/>
    <x v="1"/>
  </r>
  <r>
    <x v="0"/>
    <n v="9.3800000000000008"/>
    <n v="90.42"/>
    <x v="1"/>
  </r>
  <r>
    <x v="14"/>
    <n v="7.98"/>
    <n v="55.94"/>
    <x v="1"/>
  </r>
  <r>
    <x v="0"/>
    <n v="6.66"/>
    <n v="55.42"/>
    <x v="1"/>
  </r>
  <r>
    <x v="43"/>
    <n v="6.96"/>
    <n v="47.98"/>
    <x v="1"/>
  </r>
  <r>
    <x v="35"/>
    <n v="7.07"/>
    <n v="92.83"/>
    <x v="1"/>
  </r>
  <r>
    <x v="61"/>
    <n v="8.08"/>
    <n v="89.18"/>
    <x v="1"/>
  </r>
  <r>
    <x v="39"/>
    <n v="6.25"/>
    <n v="35.03"/>
    <x v="1"/>
  </r>
  <r>
    <x v="38"/>
    <n v="5.15"/>
    <n v="36.72"/>
    <x v="1"/>
  </r>
  <r>
    <x v="4"/>
    <n v="8.5500000000000007"/>
    <n v="37.83"/>
    <x v="1"/>
  </r>
  <r>
    <x v="19"/>
    <n v="7.31"/>
    <n v="53.57"/>
    <x v="1"/>
  </r>
  <r>
    <x v="39"/>
    <n v="8.41"/>
    <n v="8.69"/>
    <x v="1"/>
  </r>
  <r>
    <x v="43"/>
    <n v="5.65"/>
    <n v="20.309999999999999"/>
    <x v="1"/>
  </r>
  <r>
    <x v="32"/>
    <n v="9.6199999999999992"/>
    <n v="92.89"/>
    <x v="1"/>
  </r>
  <r>
    <x v="4"/>
    <n v="5.94"/>
    <n v="100.07"/>
    <x v="1"/>
  </r>
  <r>
    <x v="11"/>
    <n v="6.22"/>
    <n v="33.18"/>
    <x v="1"/>
  </r>
  <r>
    <x v="17"/>
    <n v="6.99"/>
    <n v="57.18"/>
    <x v="1"/>
  </r>
  <r>
    <x v="10"/>
    <n v="6.05"/>
    <n v="67.25"/>
    <x v="1"/>
  </r>
  <r>
    <x v="36"/>
    <n v="5.31"/>
    <n v="52.1"/>
    <x v="1"/>
  </r>
  <r>
    <x v="37"/>
    <n v="5.61"/>
    <n v="71.069999999999993"/>
    <x v="1"/>
  </r>
  <r>
    <x v="35"/>
    <n v="8.83"/>
    <n v="76.27"/>
    <x v="1"/>
  </r>
  <r>
    <x v="4"/>
    <n v="4.57"/>
    <n v="45.88"/>
    <x v="1"/>
  </r>
  <r>
    <x v="10"/>
    <n v="5.99"/>
    <n v="80.13"/>
    <x v="1"/>
  </r>
  <r>
    <x v="31"/>
    <n v="7.67"/>
    <n v="58.01"/>
    <x v="1"/>
  </r>
  <r>
    <x v="24"/>
    <n v="8.2899999999999991"/>
    <n v="50.65"/>
    <x v="1"/>
  </r>
  <r>
    <x v="48"/>
    <n v="9.23"/>
    <n v="82.68"/>
    <x v="1"/>
  </r>
  <r>
    <x v="8"/>
    <n v="5.98"/>
    <n v="56.8"/>
    <x v="1"/>
  </r>
  <r>
    <x v="15"/>
    <n v="5.35"/>
    <n v="43.32"/>
    <x v="1"/>
  </r>
  <r>
    <x v="35"/>
    <n v="9.02"/>
    <n v="68.38"/>
    <x v="1"/>
  </r>
  <r>
    <x v="16"/>
    <n v="7.27"/>
    <n v="33.450000000000003"/>
    <x v="1"/>
  </r>
  <r>
    <x v="36"/>
    <n v="9.3000000000000007"/>
    <n v="78.83"/>
    <x v="1"/>
  </r>
  <r>
    <x v="30"/>
    <n v="6.75"/>
    <n v="79.989999999999995"/>
    <x v="1"/>
  </r>
  <r>
    <x v="8"/>
    <n v="8.8800000000000008"/>
    <n v="73.25"/>
    <x v="1"/>
  </r>
  <r>
    <x v="8"/>
    <n v="7.25"/>
    <n v="42.01"/>
    <x v="1"/>
  </r>
  <r>
    <x v="25"/>
    <n v="6.8"/>
    <n v="61.9"/>
    <x v="1"/>
  </r>
  <r>
    <x v="15"/>
    <n v="6.65"/>
    <n v="54.56"/>
    <x v="1"/>
  </r>
  <r>
    <x v="16"/>
    <n v="6.93"/>
    <n v="71.62"/>
    <x v="1"/>
  </r>
  <r>
    <x v="26"/>
    <n v="8.74"/>
    <n v="72.92"/>
    <x v="1"/>
  </r>
  <r>
    <x v="24"/>
    <n v="7.9"/>
    <n v="41.49"/>
    <x v="1"/>
  </r>
  <r>
    <x v="31"/>
    <n v="6.73"/>
    <n v="67.739999999999995"/>
    <x v="1"/>
  </r>
  <r>
    <x v="9"/>
    <n v="5.79"/>
    <n v="43.41"/>
    <x v="1"/>
  </r>
  <r>
    <x v="4"/>
    <n v="4.99"/>
    <n v="42.91"/>
    <x v="1"/>
  </r>
  <r>
    <x v="25"/>
    <n v="8.52"/>
    <n v="66.650000000000006"/>
    <x v="1"/>
  </r>
  <r>
    <x v="62"/>
    <n v="6.65"/>
    <n v="55.63"/>
    <x v="1"/>
  </r>
  <r>
    <x v="45"/>
    <n v="7.12"/>
    <n v="89.46"/>
    <x v="1"/>
  </r>
  <r>
    <x v="51"/>
    <n v="7.45"/>
    <n v="35.75"/>
    <x v="1"/>
  </r>
  <r>
    <x v="33"/>
    <n v="6.02"/>
    <n v="45.03"/>
    <x v="1"/>
  </r>
  <r>
    <x v="58"/>
    <n v="7.87"/>
    <n v="55.21"/>
    <x v="1"/>
  </r>
  <r>
    <x v="46"/>
    <n v="4.6900000000000004"/>
    <n v="61.81"/>
    <x v="1"/>
  </r>
  <r>
    <x v="9"/>
    <n v="6.74"/>
    <n v="79.67"/>
    <x v="1"/>
  </r>
  <r>
    <x v="33"/>
    <n v="4.92"/>
    <n v="38.86"/>
    <x v="1"/>
  </r>
  <r>
    <x v="8"/>
    <n v="7.25"/>
    <n v="91.39"/>
    <x v="1"/>
  </r>
  <r>
    <x v="29"/>
    <n v="5.05"/>
    <n v="45.65"/>
    <x v="1"/>
  </r>
  <r>
    <x v="35"/>
    <n v="5.65"/>
    <n v="65.02"/>
    <x v="1"/>
  </r>
  <r>
    <x v="29"/>
    <n v="9.1999999999999993"/>
    <n v="72.510000000000005"/>
    <x v="1"/>
  </r>
  <r>
    <x v="24"/>
    <n v="6.32"/>
    <n v="73.260000000000005"/>
    <x v="1"/>
  </r>
  <r>
    <x v="17"/>
    <n v="4.3899999999999997"/>
    <n v="20.170000000000002"/>
    <x v="1"/>
  </r>
  <r>
    <x v="21"/>
    <n v="9.18"/>
    <n v="65.19"/>
    <x v="1"/>
  </r>
  <r>
    <x v="15"/>
    <n v="7.42"/>
    <n v="53.4"/>
    <x v="1"/>
  </r>
  <r>
    <x v="9"/>
    <n v="9.69"/>
    <n v="82.07"/>
    <x v="1"/>
  </r>
  <r>
    <x v="45"/>
    <n v="6.03"/>
    <n v="66.72"/>
    <x v="1"/>
  </r>
  <r>
    <x v="63"/>
    <n v="4.37"/>
    <n v="23.31"/>
    <x v="1"/>
  </r>
  <r>
    <x v="11"/>
    <n v="7.73"/>
    <n v="75.430000000000007"/>
    <x v="1"/>
  </r>
  <r>
    <x v="43"/>
    <n v="4.8"/>
    <n v="29.99"/>
    <x v="1"/>
  </r>
  <r>
    <x v="24"/>
    <n v="4.8499999999999996"/>
    <n v="59.93"/>
    <x v="1"/>
  </r>
  <r>
    <x v="60"/>
    <n v="8.42"/>
    <n v="88.33"/>
    <x v="1"/>
  </r>
  <r>
    <x v="45"/>
    <n v="9.73"/>
    <n v="94.71"/>
    <x v="1"/>
  </r>
  <r>
    <x v="5"/>
    <n v="9.27"/>
    <n v="55.3"/>
    <x v="1"/>
  </r>
  <r>
    <x v="20"/>
    <n v="4.6100000000000003"/>
    <n v="41.34"/>
    <x v="1"/>
  </r>
  <r>
    <x v="26"/>
    <n v="7.46"/>
    <n v="55.88"/>
    <x v="1"/>
  </r>
  <r>
    <x v="8"/>
    <n v="5.86"/>
    <n v="50.94"/>
    <x v="1"/>
  </r>
  <r>
    <x v="6"/>
    <n v="9.1999999999999993"/>
    <n v="73.45"/>
    <x v="1"/>
  </r>
  <r>
    <x v="30"/>
    <n v="4.46"/>
    <n v="34.049999999999997"/>
    <x v="1"/>
  </r>
  <r>
    <x v="38"/>
    <n v="9.44"/>
    <n v="61.2"/>
    <x v="1"/>
  </r>
  <r>
    <x v="32"/>
    <n v="9.4700000000000006"/>
    <n v="75.08"/>
    <x v="1"/>
  </r>
  <r>
    <x v="36"/>
    <n v="7.81"/>
    <n v="71.47"/>
    <x v="1"/>
  </r>
  <r>
    <x v="23"/>
    <n v="6.34"/>
    <n v="56.08"/>
    <x v="1"/>
  </r>
  <r>
    <x v="5"/>
    <n v="5.5"/>
    <n v="70.36"/>
    <x v="1"/>
  </r>
  <r>
    <x v="39"/>
    <n v="9.99"/>
    <n v="92.22"/>
    <x v="1"/>
  </r>
  <r>
    <x v="39"/>
    <n v="8.89"/>
    <n v="85.79"/>
    <x v="1"/>
  </r>
  <r>
    <x v="20"/>
    <n v="9.3000000000000007"/>
    <n v="58.26"/>
    <x v="1"/>
  </r>
  <r>
    <x v="6"/>
    <n v="6.67"/>
    <n v="50.18"/>
    <x v="1"/>
  </r>
  <r>
    <x v="19"/>
    <n v="6.54"/>
    <n v="60.5"/>
    <x v="1"/>
  </r>
  <r>
    <x v="33"/>
    <n v="6.92"/>
    <n v="50.8"/>
    <x v="1"/>
  </r>
  <r>
    <x v="40"/>
    <n v="5.91"/>
    <n v="54.85"/>
    <x v="1"/>
  </r>
  <r>
    <x v="7"/>
    <n v="5.76"/>
    <n v="36.57"/>
    <x v="1"/>
  </r>
  <r>
    <x v="16"/>
    <n v="9.27"/>
    <n v="81.64"/>
    <x v="1"/>
  </r>
  <r>
    <x v="5"/>
    <n v="9.2100000000000009"/>
    <n v="67.63"/>
    <x v="1"/>
  </r>
  <r>
    <x v="18"/>
    <n v="4.6399999999999997"/>
    <n v="38.450000000000003"/>
    <x v="1"/>
  </r>
  <r>
    <x v="23"/>
    <n v="7.46"/>
    <n v="52.4"/>
    <x v="1"/>
  </r>
  <r>
    <x v="64"/>
    <n v="5.85"/>
    <n v="28.16"/>
    <x v="1"/>
  </r>
  <r>
    <x v="21"/>
    <n v="6.23"/>
    <n v="42.26"/>
    <x v="1"/>
  </r>
  <r>
    <x v="35"/>
    <n v="6.46"/>
    <n v="50.33"/>
    <x v="1"/>
  </r>
  <r>
    <x v="57"/>
    <n v="7.48"/>
    <n v="49.8"/>
    <x v="1"/>
  </r>
  <r>
    <x v="46"/>
    <n v="5.93"/>
    <n v="10.96"/>
    <x v="1"/>
  </r>
  <r>
    <x v="51"/>
    <n v="4.96"/>
    <n v="35.53"/>
    <x v="1"/>
  </r>
  <r>
    <x v="17"/>
    <n v="4.0599999999999996"/>
    <n v="21.98"/>
    <x v="1"/>
  </r>
  <r>
    <x v="24"/>
    <n v="4.1500000000000004"/>
    <n v="20.84"/>
    <x v="1"/>
  </r>
  <r>
    <x v="57"/>
    <n v="4.3099999999999996"/>
    <n v="33.97"/>
    <x v="1"/>
  </r>
  <r>
    <x v="14"/>
    <n v="7.07"/>
    <n v="48.18"/>
    <x v="1"/>
  </r>
  <r>
    <x v="38"/>
    <n v="6.64"/>
    <n v="66.959999999999994"/>
    <x v="1"/>
  </r>
  <r>
    <x v="15"/>
    <n v="4.62"/>
    <n v="65.36"/>
    <x v="1"/>
  </r>
  <r>
    <x v="1"/>
    <n v="4.03"/>
    <n v="25.68"/>
    <x v="1"/>
  </r>
  <r>
    <x v="20"/>
    <n v="8.9700000000000006"/>
    <n v="53.51"/>
    <x v="1"/>
  </r>
  <r>
    <x v="60"/>
    <n v="5.21"/>
    <n v="92.88"/>
    <x v="1"/>
  </r>
  <r>
    <x v="10"/>
    <n v="7.93"/>
    <n v="61.63"/>
    <x v="1"/>
  </r>
  <r>
    <x v="11"/>
    <n v="4.12"/>
    <n v="37.869999999999997"/>
    <x v="1"/>
  </r>
  <r>
    <x v="6"/>
    <n v="4.62"/>
    <n v="24.61"/>
    <x v="1"/>
  </r>
  <r>
    <x v="53"/>
    <n v="7.06"/>
    <n v="40.79"/>
    <x v="1"/>
  </r>
  <r>
    <x v="13"/>
    <n v="9.23"/>
    <n v="94.26"/>
    <x v="1"/>
  </r>
  <r>
    <x v="64"/>
    <n v="5.96"/>
    <n v="84.26"/>
    <x v="1"/>
  </r>
  <r>
    <x v="41"/>
    <n v="9.24"/>
    <n v="77.36"/>
    <x v="1"/>
  </r>
  <r>
    <x v="17"/>
    <n v="5.84"/>
    <n v="40.15"/>
    <x v="1"/>
  </r>
  <r>
    <x v="35"/>
    <n v="4.66"/>
    <n v="36.200000000000003"/>
    <x v="1"/>
  </r>
  <r>
    <x v="44"/>
    <n v="8.41"/>
    <n v="54.49"/>
    <x v="1"/>
  </r>
  <r>
    <x v="58"/>
    <n v="9.15"/>
    <n v="78.58"/>
    <x v="1"/>
  </r>
  <r>
    <x v="47"/>
    <n v="5.67"/>
    <n v="61.28"/>
    <x v="1"/>
  </r>
  <r>
    <x v="15"/>
    <n v="5.59"/>
    <n v="68.12"/>
    <x v="1"/>
  </r>
  <r>
    <x v="10"/>
    <n v="9.1"/>
    <n v="52.07"/>
    <x v="1"/>
  </r>
  <r>
    <x v="57"/>
    <n v="6.24"/>
    <n v="54.93"/>
    <x v="1"/>
  </r>
  <r>
    <x v="29"/>
    <n v="8.1"/>
    <n v="65.84"/>
    <x v="1"/>
  </r>
  <r>
    <x v="31"/>
    <n v="5.61"/>
    <n v="47.22"/>
    <x v="1"/>
  </r>
  <r>
    <x v="4"/>
    <n v="5.48"/>
    <n v="34.47"/>
    <x v="1"/>
  </r>
  <r>
    <x v="43"/>
    <n v="4.26"/>
    <n v="43.55"/>
    <x v="1"/>
  </r>
  <r>
    <x v="36"/>
    <n v="9.68"/>
    <n v="132.72999999999999"/>
    <x v="1"/>
  </r>
  <r>
    <x v="53"/>
    <n v="9.86"/>
    <n v="72.349999999999994"/>
    <x v="1"/>
  </r>
  <r>
    <x v="4"/>
    <n v="4.88"/>
    <n v="62.64"/>
    <x v="1"/>
  </r>
  <r>
    <x v="49"/>
    <n v="9.6199999999999992"/>
    <n v="67.069999999999993"/>
    <x v="1"/>
  </r>
  <r>
    <x v="4"/>
    <n v="6.28"/>
    <n v="61.5"/>
    <x v="1"/>
  </r>
  <r>
    <x v="58"/>
    <n v="9.58"/>
    <n v="57.83"/>
    <x v="1"/>
  </r>
  <r>
    <x v="29"/>
    <n v="5.79"/>
    <n v="67.23"/>
    <x v="1"/>
  </r>
  <r>
    <x v="4"/>
    <n v="6.25"/>
    <n v="59.23"/>
    <x v="1"/>
  </r>
  <r>
    <x v="48"/>
    <n v="4.46"/>
    <n v="30.81"/>
    <x v="1"/>
  </r>
  <r>
    <x v="35"/>
    <n v="6.56"/>
    <n v="76.7"/>
    <x v="1"/>
  </r>
  <r>
    <x v="5"/>
    <n v="8.6999999999999993"/>
    <n v="66.56"/>
    <x v="1"/>
  </r>
  <r>
    <x v="31"/>
    <n v="8.68"/>
    <n v="42.13"/>
    <x v="1"/>
  </r>
  <r>
    <x v="4"/>
    <n v="4.78"/>
    <n v="67.87"/>
    <x v="1"/>
  </r>
  <r>
    <x v="16"/>
    <n v="4.3899999999999997"/>
    <n v="35.26"/>
    <x v="1"/>
  </r>
  <r>
    <x v="17"/>
    <n v="5.66"/>
    <n v="56.39"/>
    <x v="1"/>
  </r>
  <r>
    <x v="44"/>
    <n v="6.47"/>
    <n v="36.21"/>
    <x v="1"/>
  </r>
  <r>
    <x v="57"/>
    <n v="7.3"/>
    <n v="101.92"/>
    <x v="1"/>
  </r>
  <r>
    <x v="58"/>
    <n v="6.16"/>
    <n v="43.75"/>
    <x v="1"/>
  </r>
  <r>
    <x v="50"/>
    <n v="5.67"/>
    <n v="77.45"/>
    <x v="1"/>
  </r>
  <r>
    <x v="45"/>
    <n v="5.96"/>
    <n v="80.31"/>
    <x v="1"/>
  </r>
  <r>
    <x v="30"/>
    <n v="7.97"/>
    <n v="104.75"/>
    <x v="1"/>
  </r>
  <r>
    <x v="43"/>
    <n v="8.02"/>
    <n v="79.25"/>
    <x v="1"/>
  </r>
  <r>
    <x v="9"/>
    <n v="6.27"/>
    <n v="78.2"/>
    <x v="1"/>
  </r>
  <r>
    <x v="48"/>
    <n v="8.1199999999999992"/>
    <n v="89.07"/>
    <x v="1"/>
  </r>
  <r>
    <x v="58"/>
    <n v="6.65"/>
    <n v="62.98"/>
    <x v="1"/>
  </r>
  <r>
    <x v="65"/>
    <n v="8.69"/>
    <n v="72.78"/>
    <x v="1"/>
  </r>
  <r>
    <x v="4"/>
    <n v="8.0399999999999991"/>
    <n v="110.48"/>
    <x v="1"/>
  </r>
  <r>
    <x v="45"/>
    <n v="5.0999999999999996"/>
    <n v="51"/>
    <x v="1"/>
  </r>
  <r>
    <x v="3"/>
    <n v="8.19"/>
    <n v="77.39"/>
    <x v="1"/>
  </r>
  <r>
    <x v="6"/>
    <n v="4.87"/>
    <n v="53.52"/>
    <x v="1"/>
  </r>
  <r>
    <x v="51"/>
    <n v="6.46"/>
    <n v="69.069999999999993"/>
    <x v="1"/>
  </r>
  <r>
    <x v="25"/>
    <n v="8.68"/>
    <n v="87.01"/>
    <x v="1"/>
  </r>
  <r>
    <x v="35"/>
    <n v="7.72"/>
    <n v="31.75"/>
    <x v="1"/>
  </r>
  <r>
    <x v="42"/>
    <n v="9.33"/>
    <n v="70.38"/>
    <x v="1"/>
  </r>
  <r>
    <x v="6"/>
    <n v="9.25"/>
    <n v="55.73"/>
    <x v="1"/>
  </r>
  <r>
    <x v="10"/>
    <n v="6.91"/>
    <n v="52.93"/>
    <x v="1"/>
  </r>
  <r>
    <x v="35"/>
    <n v="8.6199999999999992"/>
    <n v="59.47"/>
    <x v="1"/>
  </r>
  <r>
    <x v="24"/>
    <n v="5.88"/>
    <n v="51.43"/>
    <x v="1"/>
  </r>
  <r>
    <x v="23"/>
    <n v="7.3"/>
    <n v="63.35"/>
    <x v="1"/>
  </r>
  <r>
    <x v="43"/>
    <n v="5.93"/>
    <n v="44.95"/>
    <x v="1"/>
  </r>
  <r>
    <x v="18"/>
    <n v="8.19"/>
    <n v="70.88"/>
    <x v="1"/>
  </r>
  <r>
    <x v="11"/>
    <n v="8.7799999999999994"/>
    <n v="61.87"/>
    <x v="1"/>
  </r>
  <r>
    <x v="25"/>
    <n v="7.29"/>
    <n v="36.71"/>
    <x v="1"/>
  </r>
  <r>
    <x v="37"/>
    <n v="7.37"/>
    <n v="47.75"/>
    <x v="1"/>
  </r>
  <r>
    <x v="23"/>
    <n v="9"/>
    <n v="60.12"/>
    <x v="1"/>
  </r>
  <r>
    <x v="58"/>
    <n v="9.5299999999999994"/>
    <n v="57.6"/>
    <x v="1"/>
  </r>
  <r>
    <x v="43"/>
    <n v="9.85"/>
    <n v="42.98"/>
    <x v="1"/>
  </r>
  <r>
    <x v="0"/>
    <n v="8.74"/>
    <n v="83.38"/>
    <x v="1"/>
  </r>
  <r>
    <x v="25"/>
    <n v="5.73"/>
    <n v="71.98"/>
    <x v="1"/>
  </r>
  <r>
    <x v="24"/>
    <n v="2.67"/>
    <n v="25.28"/>
    <x v="1"/>
  </r>
  <r>
    <x v="22"/>
    <n v="2.4"/>
    <n v="31.1"/>
    <x v="1"/>
  </r>
  <r>
    <x v="39"/>
    <n v="2"/>
    <n v="19.010000000000002"/>
    <x v="1"/>
  </r>
  <r>
    <x v="37"/>
    <n v="4"/>
    <n v="21.99"/>
    <x v="1"/>
  </r>
  <r>
    <x v="21"/>
    <n v="4"/>
    <n v="18.28"/>
    <x v="1"/>
  </r>
  <r>
    <x v="42"/>
    <n v="2.5"/>
    <n v="38.9"/>
    <x v="1"/>
  </r>
  <r>
    <x v="48"/>
    <n v="3.5"/>
    <n v="51.98"/>
    <x v="1"/>
  </r>
  <r>
    <x v="38"/>
    <n v="2.2999999999999998"/>
    <n v="39.54"/>
    <x v="1"/>
  </r>
  <r>
    <x v="30"/>
    <n v="3"/>
    <n v="30.68"/>
    <x v="1"/>
  </r>
  <r>
    <x v="36"/>
    <n v="2.6"/>
    <n v="43.26"/>
    <x v="1"/>
  </r>
  <r>
    <x v="47"/>
    <n v="2.2999999999999998"/>
    <n v="14"/>
    <x v="1"/>
  </r>
  <r>
    <x v="41"/>
    <n v="2"/>
    <n v="32.700000000000003"/>
    <x v="1"/>
  </r>
  <r>
    <x v="45"/>
    <n v="3.3"/>
    <n v="33.03"/>
    <x v="1"/>
  </r>
  <r>
    <x v="7"/>
    <n v="1.8"/>
    <n v="31.37"/>
    <x v="1"/>
  </r>
  <r>
    <x v="9"/>
    <n v="1.5"/>
    <n v="34.97"/>
    <x v="1"/>
  </r>
  <r>
    <x v="0"/>
    <n v="2.8"/>
    <n v="63"/>
    <x v="1"/>
  </r>
  <r>
    <x v="48"/>
    <n v="2.2999999999999998"/>
    <n v="51.99"/>
    <x v="1"/>
  </r>
  <r>
    <x v="42"/>
    <n v="1.8"/>
    <n v="67.260000000000005"/>
    <x v="1"/>
  </r>
  <r>
    <x v="33"/>
    <n v="3.6"/>
    <n v="48.57"/>
    <x v="1"/>
  </r>
  <r>
    <x v="4"/>
    <n v="2.4"/>
    <n v="48.14"/>
    <x v="1"/>
  </r>
  <r>
    <x v="22"/>
    <n v="3.7"/>
    <n v="34.53"/>
    <x v="1"/>
  </r>
  <r>
    <x v="17"/>
    <n v="3.9"/>
    <n v="11.95"/>
    <x v="1"/>
  </r>
  <r>
    <x v="64"/>
    <n v="2.7"/>
    <n v="16.579999999999998"/>
    <x v="1"/>
  </r>
  <r>
    <x v="11"/>
    <n v="3.8"/>
    <n v="50.34"/>
    <x v="1"/>
  </r>
  <r>
    <x v="4"/>
    <n v="3.8"/>
    <n v="44.87"/>
    <x v="1"/>
  </r>
  <r>
    <x v="36"/>
    <n v="3.2"/>
    <n v="6.97"/>
    <x v="1"/>
  </r>
  <r>
    <x v="52"/>
    <n v="3.6"/>
    <n v="30.33"/>
    <x v="1"/>
  </r>
  <r>
    <x v="19"/>
    <n v="2.6"/>
    <n v="42.51"/>
    <x v="1"/>
  </r>
  <r>
    <x v="10"/>
    <n v="2"/>
    <n v="29.17"/>
    <x v="1"/>
  </r>
  <r>
    <x v="11"/>
    <n v="2.9"/>
    <n v="31.65"/>
    <x v="1"/>
  </r>
  <r>
    <x v="14"/>
    <n v="3"/>
    <n v="58.89"/>
    <x v="1"/>
  </r>
  <r>
    <x v="3"/>
    <n v="3.5"/>
    <n v="22.47"/>
    <x v="1"/>
  </r>
  <r>
    <x v="15"/>
    <n v="2.6"/>
    <n v="9.8000000000000007"/>
    <x v="1"/>
  </r>
  <r>
    <x v="58"/>
    <n v="1.5"/>
    <n v="23.33"/>
    <x v="1"/>
  </r>
  <r>
    <x v="11"/>
    <n v="3.8"/>
    <n v="23.5"/>
    <x v="1"/>
  </r>
  <r>
    <x v="4"/>
    <n v="4"/>
    <n v="18.52"/>
    <x v="1"/>
  </r>
  <r>
    <x v="31"/>
    <n v="3.3"/>
    <n v="41.24"/>
    <x v="1"/>
  </r>
  <r>
    <x v="38"/>
    <n v="3.3"/>
    <n v="43.28"/>
    <x v="1"/>
  </r>
  <r>
    <x v="8"/>
    <n v="1.9"/>
    <n v="28.32"/>
    <x v="1"/>
  </r>
  <r>
    <x v="24"/>
    <n v="2.9"/>
    <n v="26.05"/>
    <x v="1"/>
  </r>
  <r>
    <x v="22"/>
    <n v="3.9"/>
    <n v="50.93"/>
    <x v="1"/>
  </r>
  <r>
    <x v="48"/>
    <n v="2.1"/>
    <n v="22.59"/>
    <x v="1"/>
  </r>
  <r>
    <x v="50"/>
    <n v="3.3"/>
    <n v="35.11"/>
    <x v="1"/>
  </r>
  <r>
    <x v="20"/>
    <n v="2.8"/>
    <n v="11.14"/>
    <x v="1"/>
  </r>
  <r>
    <x v="14"/>
    <n v="2.1"/>
    <n v="43.17"/>
    <x v="1"/>
  </r>
  <r>
    <x v="41"/>
    <n v="3.7"/>
    <n v="12.65"/>
    <x v="1"/>
  </r>
  <r>
    <x v="9"/>
    <n v="3.9"/>
    <n v="27.84"/>
    <x v="1"/>
  </r>
  <r>
    <x v="44"/>
    <n v="1.6"/>
    <n v="38.61"/>
    <x v="1"/>
  </r>
  <r>
    <x v="60"/>
    <n v="1.7"/>
    <n v="17.32"/>
    <x v="1"/>
  </r>
  <r>
    <x v="25"/>
    <n v="1.5"/>
    <n v="22.81"/>
    <x v="1"/>
  </r>
  <r>
    <x v="8"/>
    <n v="11.3"/>
    <n v="87.75"/>
    <x v="1"/>
  </r>
  <r>
    <x v="13"/>
    <n v="12"/>
    <n v="95.73"/>
    <x v="1"/>
  </r>
  <r>
    <x v="4"/>
    <n v="12.5"/>
    <n v="110.81"/>
    <x v="1"/>
  </r>
  <r>
    <x v="15"/>
    <n v="12.6"/>
    <n v="120.86"/>
    <x v="1"/>
  </r>
  <r>
    <x v="47"/>
    <n v="10.6"/>
    <n v="51.82"/>
    <x v="1"/>
  </r>
  <r>
    <x v="29"/>
    <n v="12.7"/>
    <n v="88.57"/>
    <x v="1"/>
  </r>
  <r>
    <x v="29"/>
    <n v="10.7"/>
    <n v="82.02"/>
    <x v="1"/>
  </r>
  <r>
    <x v="14"/>
    <n v="12.5"/>
    <n v="105.61"/>
    <x v="1"/>
  </r>
  <r>
    <x v="20"/>
    <n v="12.1"/>
    <n v="83.86"/>
    <x v="1"/>
  </r>
  <r>
    <x v="32"/>
    <n v="12.2"/>
    <n v="90.89"/>
    <x v="1"/>
  </r>
  <r>
    <x v="11"/>
    <n v="12.7"/>
    <n v="89.68"/>
    <x v="1"/>
  </r>
  <r>
    <x v="53"/>
    <n v="10.4"/>
    <n v="103.09"/>
    <x v="1"/>
  </r>
  <r>
    <x v="36"/>
    <n v="11.8"/>
    <n v="105.6"/>
    <x v="1"/>
  </r>
  <r>
    <x v="29"/>
    <n v="11.3"/>
    <n v="99.6"/>
    <x v="1"/>
  </r>
  <r>
    <x v="30"/>
    <n v="11.9"/>
    <n v="95.17"/>
    <x v="1"/>
  </r>
  <r>
    <x v="24"/>
    <n v="12.2"/>
    <n v="57.01"/>
    <x v="1"/>
  </r>
  <r>
    <x v="12"/>
    <n v="11.8"/>
    <n v="78.2"/>
    <x v="1"/>
  </r>
  <r>
    <x v="16"/>
    <n v="12.3"/>
    <n v="103.88"/>
    <x v="1"/>
  </r>
  <r>
    <x v="4"/>
    <n v="12"/>
    <n v="83.21"/>
    <x v="1"/>
  </r>
  <r>
    <x v="40"/>
    <n v="11.9"/>
    <n v="114.96"/>
    <x v="1"/>
  </r>
  <r>
    <x v="0"/>
    <n v="11.9"/>
    <n v="79.23"/>
    <x v="1"/>
  </r>
  <r>
    <x v="10"/>
    <n v="10.199999999999999"/>
    <n v="45.79"/>
    <x v="1"/>
  </r>
  <r>
    <x v="44"/>
    <n v="11.4"/>
    <n v="56.37"/>
    <x v="1"/>
  </r>
  <r>
    <x v="8"/>
    <n v="12.8"/>
    <n v="91.79"/>
    <x v="1"/>
  </r>
  <r>
    <x v="58"/>
    <n v="10.6"/>
    <n v="85.37"/>
    <x v="1"/>
  </r>
  <r>
    <x v="29"/>
    <n v="12.4"/>
    <n v="96.74"/>
    <x v="1"/>
  </r>
  <r>
    <x v="10"/>
    <n v="10"/>
    <n v="88.16"/>
    <x v="1"/>
  </r>
  <r>
    <x v="26"/>
    <n v="12.4"/>
    <n v="109.42"/>
    <x v="1"/>
  </r>
  <r>
    <x v="20"/>
    <n v="11.8"/>
    <n v="74.97"/>
    <x v="1"/>
  </r>
  <r>
    <x v="19"/>
    <n v="11.1"/>
    <n v="100.82"/>
    <x v="1"/>
  </r>
  <r>
    <x v="40"/>
    <n v="11"/>
    <n v="63.32"/>
    <x v="1"/>
  </r>
  <r>
    <x v="44"/>
    <n v="11.3"/>
    <n v="92.43"/>
    <x v="1"/>
  </r>
  <r>
    <x v="41"/>
    <n v="12.1"/>
    <n v="92.08"/>
    <x v="1"/>
  </r>
  <r>
    <x v="18"/>
    <n v="11.7"/>
    <n v="93.63"/>
    <x v="1"/>
  </r>
  <r>
    <x v="36"/>
    <n v="10"/>
    <n v="98.34"/>
    <x v="1"/>
  </r>
  <r>
    <x v="10"/>
    <n v="10.1"/>
    <n v="87.63"/>
    <x v="1"/>
  </r>
  <r>
    <x v="43"/>
    <n v="11.6"/>
    <n v="64.5"/>
    <x v="1"/>
  </r>
  <r>
    <x v="5"/>
    <n v="10.6"/>
    <n v="80"/>
    <x v="1"/>
  </r>
  <r>
    <x v="45"/>
    <n v="10.7"/>
    <n v="99.73"/>
    <x v="1"/>
  </r>
  <r>
    <x v="50"/>
    <n v="10.3"/>
    <n v="89.49"/>
    <x v="1"/>
  </r>
  <r>
    <x v="23"/>
    <n v="11.6"/>
    <n v="95.39"/>
    <x v="1"/>
  </r>
  <r>
    <x v="5"/>
    <n v="12.1"/>
    <n v="94.07"/>
    <x v="1"/>
  </r>
  <r>
    <x v="18"/>
    <n v="12.5"/>
    <n v="99.72"/>
    <x v="1"/>
  </r>
  <r>
    <x v="15"/>
    <n v="10.9"/>
    <n v="77.13"/>
    <x v="1"/>
  </r>
  <r>
    <x v="64"/>
    <n v="13"/>
    <n v="67.31"/>
    <x v="1"/>
  </r>
  <r>
    <x v="51"/>
    <n v="11.5"/>
    <n v="118.49"/>
    <x v="1"/>
  </r>
  <r>
    <x v="18"/>
    <n v="11.1"/>
    <n v="67.2"/>
    <x v="1"/>
  </r>
  <r>
    <x v="18"/>
    <n v="12.5"/>
    <n v="100.55"/>
    <x v="1"/>
  </r>
  <r>
    <x v="41"/>
    <n v="12.2"/>
    <n v="79.36"/>
    <x v="1"/>
  </r>
  <r>
    <x v="45"/>
    <n v="12.4"/>
    <n v="90.6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FFB191-9DBF-3542-B18D-C71D34E173FF}" name="TCD_Total_Clients_Catégories" cacheId="2" applyNumberFormats="0" applyBorderFormats="0" applyFontFormats="0" applyPatternFormats="0" applyAlignmentFormats="0" applyWidthHeightFormats="1" dataCaption=" " updatedVersion="8" minRefreshableVersion="3" useAutoFormatting="1" itemPrintTitles="1" createdVersion="8" indent="0" compact="0" compactData="0" chartFormat="4">
  <location ref="C4:I73" firstHeaderRow="1" firstDataRow="3" firstDataCol="1"/>
  <pivotFields count="4">
    <pivotField axis="axisRow" compact="0" outline="0" showAll="0" sortType="descending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numFmtId="4" outline="0" showAll="0"/>
    <pivotField dataField="1" compact="0" numFmtId="165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0"/>
  </rowFields>
  <rowItems count="67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>
      <x v="27"/>
    </i>
    <i>
      <x v="17"/>
    </i>
    <i>
      <x v="29"/>
    </i>
    <i>
      <x v="15"/>
    </i>
    <i>
      <x v="26"/>
    </i>
    <i>
      <x v="16"/>
    </i>
    <i>
      <x v="13"/>
    </i>
    <i>
      <x v="8"/>
    </i>
    <i>
      <x v="1"/>
    </i>
    <i>
      <x v="6"/>
    </i>
    <i>
      <x v="22"/>
    </i>
    <i>
      <x v="28"/>
    </i>
    <i>
      <x v="40"/>
    </i>
    <i>
      <x v="33"/>
    </i>
    <i>
      <x v="9"/>
    </i>
    <i>
      <x v="4"/>
    </i>
    <i>
      <x v="31"/>
    </i>
    <i>
      <x v="18"/>
    </i>
    <i>
      <x v="2"/>
    </i>
    <i>
      <x v="41"/>
    </i>
    <i>
      <x v="12"/>
    </i>
    <i>
      <x v="5"/>
    </i>
    <i>
      <x v="20"/>
    </i>
    <i>
      <x v="32"/>
    </i>
    <i>
      <x v="38"/>
    </i>
    <i>
      <x v="45"/>
    </i>
    <i>
      <x v="39"/>
    </i>
    <i>
      <x v="50"/>
    </i>
    <i>
      <x v="7"/>
    </i>
    <i>
      <x v="47"/>
    </i>
    <i>
      <x v="42"/>
    </i>
    <i>
      <x v="43"/>
    </i>
    <i>
      <x v="36"/>
    </i>
    <i>
      <x v="11"/>
    </i>
    <i>
      <x/>
    </i>
    <i>
      <x v="3"/>
    </i>
    <i>
      <x v="46"/>
    </i>
    <i>
      <x v="48"/>
    </i>
    <i>
      <x v="49"/>
    </i>
    <i>
      <x v="44"/>
    </i>
    <i>
      <x v="10"/>
    </i>
    <i>
      <x v="56"/>
    </i>
    <i>
      <x v="52"/>
    </i>
    <i>
      <x v="51"/>
    </i>
    <i>
      <x v="53"/>
    </i>
    <i>
      <x v="63"/>
    </i>
    <i>
      <x v="62"/>
    </i>
    <i>
      <x v="60"/>
    </i>
    <i>
      <x v="54"/>
    </i>
    <i>
      <x v="55"/>
    </i>
    <i>
      <x v="65"/>
    </i>
    <i>
      <x v="57"/>
    </i>
    <i>
      <x v="59"/>
    </i>
    <i>
      <x v="58"/>
    </i>
    <i>
      <x v="61"/>
    </i>
    <i>
      <x v="64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Nombre d'achats" fld="2" subtotal="count" baseField="0" baseItem="0" numFmtId="165"/>
    <dataField name="Total" fld="2" baseField="0" baseItem="0" numFmtId="165"/>
  </dataFields>
  <formats count="11">
    <format dxfId="15">
      <pivotArea field="3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14">
      <pivotArea dataOnly="0" outline="0" fieldPosition="0">
        <references count="1">
          <reference field="4294967294" count="1">
            <x v="0"/>
          </reference>
        </references>
      </pivotArea>
    </format>
    <format dxfId="13">
      <pivotArea dataOnly="0" labelOnly="1" outline="0" fieldPosition="0">
        <references count="1">
          <reference field="3" count="1">
            <x v="0"/>
          </reference>
        </references>
      </pivotArea>
    </format>
    <format dxfId="12">
      <pivotArea dataOnly="0" labelOnly="1" outline="0" fieldPosition="0">
        <references count="1">
          <reference field="0" count="0"/>
        </references>
      </pivotArea>
    </format>
    <format dxfId="11">
      <pivotArea dataOnly="0" labelOnly="1" outline="0" fieldPosition="0">
        <references count="1">
          <reference field="0" count="0"/>
        </references>
      </pivotArea>
    </format>
    <format dxfId="10">
      <pivotArea dataOnly="0" outline="0" fieldPosition="0">
        <references count="1">
          <reference field="3" count="1">
            <x v="0"/>
          </reference>
        </references>
      </pivotArea>
    </format>
    <format dxfId="9">
      <pivotArea dataOnly="0" outline="0" fieldPosition="0">
        <references count="1">
          <reference field="3" count="1">
            <x v="0"/>
          </reference>
        </references>
      </pivotArea>
    </format>
    <format dxfId="8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7">
      <pivotArea dataOnly="0" outline="0" fieldPosition="0">
        <references count="1">
          <reference field="3" count="1">
            <x v="1"/>
          </reference>
        </references>
      </pivotArea>
    </format>
    <format dxfId="6">
      <pivotArea dataOnly="0" outline="0" fieldPosition="0">
        <references count="1">
          <reference field="3" count="1">
            <x v="1"/>
          </reference>
        </references>
      </pivotArea>
    </format>
    <format dxfId="5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</formats>
  <chartFormats count="4">
    <chartFormat chart="3" format="0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Medium8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FC449A-A376-8443-8991-B632BB9A54F2}" name="TCD_CA_Catégories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7">
  <location ref="G7:H10" firstHeaderRow="1" firstDataRow="1" firstDataCol="1"/>
  <pivotFields count="4">
    <pivotField showAll="0"/>
    <pivotField numFmtId="4" showAll="0"/>
    <pivotField dataField="1" numFmtId="165" showAll="0"/>
    <pivotField axis="axisRow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omme de Montant" fld="2" showDataAs="percentOfCol" baseField="0" baseItem="0" numFmtId="10"/>
  </dataFields>
  <chartFormats count="3"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2863F7-3EC3-9148-8744-4F494ED12353}" name="TCD_Top_10_Clients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 chartFormat="20">
  <location ref="B7:E19" firstHeaderRow="1" firstDataRow="2" firstDataCol="1"/>
  <pivotFields count="4">
    <pivotField axis="axisRow" compact="0" outline="0" showAll="0" measureFilter="1" sortType="descending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4" outline="0" showAll="0"/>
    <pivotField dataField="1" compact="0" numFmtId="165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0"/>
  </rowFields>
  <rowItems count="11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omme de Montant" fld="2" baseField="0" baseItem="0" numFmtId="165"/>
  </dataFields>
  <chartFormats count="10">
    <chartFormat chart="0" format="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10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7C19D9-5F6F-BA40-BE87-703A5D6B0D13}" name="Tableau2" displayName="Tableau2" ref="B7:H11" totalsRowShown="0" headerRowDxfId="18" tableBorderDxfId="17">
  <autoFilter ref="B7:H11" xr:uid="{027C19D9-5F6F-BA40-BE87-703A5D6B0D1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26C79751-F4AC-0A47-9899-440FDF21A24F}" name="Catégories"/>
    <tableColumn id="2" xr3:uid="{2EA07577-78EE-5E4E-86E0-EE4B90598CA5}" name="SEPT"/>
    <tableColumn id="3" xr3:uid="{E4A9045D-1AA7-AA48-B0DD-64159FE2921C}" name="OCT"/>
    <tableColumn id="4" xr3:uid="{35DDCA4E-EC9B-7845-AFD5-E249AB570132}" name="NOV"/>
    <tableColumn id="5" xr3:uid="{17A2F41D-BA6E-B342-8AD9-8821DDAFC729}" name="DEC"/>
    <tableColumn id="6" xr3:uid="{6BC68971-A2B4-D540-BC0E-66FA63329EC2}" name="JAN"/>
    <tableColumn id="7" xr3:uid="{CA4E8405-614A-6C44-8A34-D88526A45521}" name="FEV" dataDxfId="16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C53E24-4C86-3E43-80C4-5F71884584CC}" name="Tableau1" displayName="Tableau1" ref="A1:D661" totalsRowShown="0" headerRowDxfId="0">
  <autoFilter ref="A1:D661" xr:uid="{16C53E24-4C86-3E43-80C4-5F71884584CC}"/>
  <tableColumns count="4">
    <tableColumn id="1" xr3:uid="{7537E698-BBA7-7E46-9431-7CEA52A5481D}" name="ID client" dataDxfId="4"/>
    <tableColumn id="2" xr3:uid="{7636465B-14CE-6341-AA2E-641BEF0801A5}" name="Temps d'achat" dataDxfId="3"/>
    <tableColumn id="3" xr3:uid="{8458E3B9-D1B7-DF40-B178-1B9D6FA5F46C}" name="Montant" dataDxfId="2"/>
    <tableColumn id="4" xr3:uid="{EDB51F35-386B-5E47-BC02-9A358AE18818}" name="Categorie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abSelected="1" topLeftCell="A116" zoomScale="138" zoomScaleNormal="75" zoomScalePageLayoutView="25" workbookViewId="0">
      <selection activeCell="K132" sqref="K132"/>
    </sheetView>
  </sheetViews>
  <sheetFormatPr baseColWidth="10" defaultColWidth="14.5" defaultRowHeight="15" customHeight="1" x14ac:dyDescent="0.2"/>
  <cols>
    <col min="1" max="1" width="11.5" customWidth="1"/>
    <col min="2" max="2" width="21.5" customWidth="1"/>
    <col min="3" max="3" width="17.83203125" customWidth="1"/>
    <col min="4" max="8" width="16.6640625" customWidth="1"/>
    <col min="9" max="9" width="11.5" customWidth="1"/>
    <col min="10" max="10" width="16.6640625" customWidth="1"/>
    <col min="11" max="26" width="10.6640625" customWidth="1"/>
  </cols>
  <sheetData>
    <row r="1" spans="1:2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4" x14ac:dyDescent="0.4">
      <c r="A2" s="1"/>
      <c r="B2" s="75" t="s">
        <v>0</v>
      </c>
      <c r="C2" s="73"/>
      <c r="D2" s="73"/>
      <c r="E2" s="73"/>
      <c r="F2" s="73"/>
      <c r="G2" s="73"/>
      <c r="H2" s="73"/>
      <c r="I2" s="73"/>
      <c r="J2" s="7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" thickBo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thickBot="1" x14ac:dyDescent="0.25">
      <c r="A6" s="1"/>
      <c r="B6" s="1"/>
      <c r="I6" s="1"/>
      <c r="J6" s="82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" thickBot="1" x14ac:dyDescent="0.25">
      <c r="A7" s="1"/>
      <c r="B7" s="89" t="s">
        <v>37</v>
      </c>
      <c r="C7" s="81" t="s">
        <v>1</v>
      </c>
      <c r="D7" s="84" t="s">
        <v>2</v>
      </c>
      <c r="E7" s="84" t="s">
        <v>3</v>
      </c>
      <c r="F7" s="84" t="s">
        <v>4</v>
      </c>
      <c r="G7" s="84" t="s">
        <v>5</v>
      </c>
      <c r="H7" s="85" t="s">
        <v>6</v>
      </c>
      <c r="I7" s="1"/>
      <c r="J7" s="8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" x14ac:dyDescent="0.2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4">
        <f>SUMIF('DATA Février (clients affiliés)'!$D$2:$D$661,Tableau2[[#This Row],[Catégories]],'DATA Février (clients affiliés)'!$C$2:$C$661)</f>
        <v>14763.899999999994</v>
      </c>
      <c r="I8" s="5"/>
      <c r="J8" s="53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" x14ac:dyDescent="0.2">
      <c r="A9" s="1"/>
      <c r="B9" s="6" t="s">
        <v>9</v>
      </c>
      <c r="C9" s="7">
        <v>13855</v>
      </c>
      <c r="D9" s="8">
        <v>16052</v>
      </c>
      <c r="E9" s="8">
        <v>16797</v>
      </c>
      <c r="F9" s="8">
        <v>17582</v>
      </c>
      <c r="G9" s="8">
        <v>18216</v>
      </c>
      <c r="H9" s="8">
        <f>SUMIF('DATA Février (clients affiliés)'!$D$2:$D$661,Tableau2[[#This Row],[Catégories]],'DATA Février (clients affiliés)'!$C$2:$C$661)</f>
        <v>24898.819999999992</v>
      </c>
      <c r="I9" s="5"/>
      <c r="J9" s="53">
        <f>SUM(C9:H9)</f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" thickBot="1" x14ac:dyDescent="0.25">
      <c r="A10" s="1"/>
      <c r="B10" s="9" t="s">
        <v>10</v>
      </c>
      <c r="C10" s="10">
        <v>3002</v>
      </c>
      <c r="D10" s="11">
        <v>3769</v>
      </c>
      <c r="E10" s="11">
        <v>4230</v>
      </c>
      <c r="F10" s="11">
        <v>4341</v>
      </c>
      <c r="G10" s="11">
        <v>2713</v>
      </c>
      <c r="H10" s="4">
        <f>SUMIF('DATA Février (clients affiliés)'!$D$2:$D$661,Tableau2[[#This Row],[Catégories]],'DATA Février (clients affiliés)'!$C$2:$C$661)</f>
        <v>0</v>
      </c>
      <c r="I10" s="5"/>
      <c r="J10" s="53">
        <f>SUM(C10:H10)</f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 x14ac:dyDescent="0.25">
      <c r="A11" s="1"/>
      <c r="B11" s="86" t="s">
        <v>11</v>
      </c>
      <c r="C11" s="87">
        <v>27400</v>
      </c>
      <c r="D11" s="88">
        <v>31279</v>
      </c>
      <c r="E11" s="88">
        <v>34547</v>
      </c>
      <c r="F11" s="88">
        <v>35946</v>
      </c>
      <c r="G11" s="88">
        <v>35912</v>
      </c>
      <c r="H11" s="88">
        <f>SUM(H8:H10)</f>
        <v>39662.719999999987</v>
      </c>
      <c r="I11" s="12"/>
      <c r="J11" s="76">
        <f>SUM(J8:J10)</f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" thickBot="1" x14ac:dyDescent="0.25">
      <c r="A14" s="1"/>
      <c r="B14" s="77" t="s">
        <v>12</v>
      </c>
      <c r="C14" s="79" t="s">
        <v>13</v>
      </c>
      <c r="D14" s="80" t="s">
        <v>14</v>
      </c>
      <c r="E14" s="1"/>
      <c r="F14" s="1"/>
      <c r="G14" s="1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" x14ac:dyDescent="0.2">
      <c r="A15" s="1"/>
      <c r="B15" s="14" t="s">
        <v>15</v>
      </c>
      <c r="C15" s="56">
        <f>COUNTIF('DATA Février (clients affiliés)'!$B$2:$B$661, "&lt;4")</f>
        <v>47</v>
      </c>
      <c r="D15" s="54">
        <f>SUMIF(Tableau1[Temps d''achat], "&lt;4",Tableau1[Montant])</f>
        <v>1562.7299999999998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" thickBot="1" x14ac:dyDescent="0.25">
      <c r="A16" s="1"/>
      <c r="B16" s="15" t="s">
        <v>16</v>
      </c>
      <c r="C16" s="56">
        <f>COUNTIF('DATA Février (clients affiliés)'!$B$2:$B$661, "&gt; 9,5")</f>
        <v>91</v>
      </c>
      <c r="D16" s="54">
        <f>SUMIF(Tableau1[Temps d''achat], "&gt; 9,5", Tableau1[Montant])</f>
        <v>7577.3200000000006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2">
      <c r="A20" s="1"/>
      <c r="B20" s="78" t="s">
        <v>17</v>
      </c>
      <c r="C20" s="73"/>
      <c r="D20" s="73"/>
      <c r="E20" s="73"/>
      <c r="F20" s="73"/>
      <c r="G20" s="73"/>
      <c r="H20" s="73"/>
      <c r="I20" s="73"/>
      <c r="J20" s="7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16"/>
      <c r="C21" s="1"/>
      <c r="D21" s="1"/>
      <c r="E21" s="1"/>
      <c r="F21" s="1"/>
      <c r="G21" s="1"/>
      <c r="H21" s="1"/>
      <c r="I21" s="1"/>
      <c r="J21" s="17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/>
      <c r="B22" s="16"/>
      <c r="C22" s="1"/>
      <c r="D22" s="1"/>
      <c r="E22" s="1"/>
      <c r="F22" s="1"/>
      <c r="G22" s="1"/>
      <c r="H22" s="1"/>
      <c r="I22" s="1"/>
      <c r="J22" s="1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16"/>
      <c r="C23" s="1"/>
      <c r="D23" s="1"/>
      <c r="E23" s="1"/>
      <c r="F23" s="1"/>
      <c r="G23" s="1"/>
      <c r="H23" s="1"/>
      <c r="I23" s="1"/>
      <c r="J23" s="1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/>
      <c r="B24" s="16"/>
      <c r="C24" s="1"/>
      <c r="D24" s="1"/>
      <c r="E24" s="1"/>
      <c r="F24" s="1"/>
      <c r="G24" s="1"/>
      <c r="H24" s="1"/>
      <c r="I24" s="1"/>
      <c r="J24" s="17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16"/>
      <c r="C25" s="1"/>
      <c r="D25" s="1"/>
      <c r="E25" s="1"/>
      <c r="F25" s="1"/>
      <c r="G25" s="1"/>
      <c r="H25" s="1"/>
      <c r="I25" s="1"/>
      <c r="J25" s="17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6"/>
      <c r="C26" s="1"/>
      <c r="D26" s="1"/>
      <c r="E26" s="1"/>
      <c r="F26" s="1"/>
      <c r="G26" s="1"/>
      <c r="H26" s="1"/>
      <c r="I26" s="1"/>
      <c r="J26" s="17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6"/>
      <c r="C27" s="1"/>
      <c r="D27" s="1"/>
      <c r="E27" s="1"/>
      <c r="F27" s="1"/>
      <c r="G27" s="1"/>
      <c r="H27" s="1"/>
      <c r="I27" s="1"/>
      <c r="J27" s="1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16"/>
      <c r="C28" s="1"/>
      <c r="D28" s="1"/>
      <c r="E28" s="1"/>
      <c r="F28" s="1"/>
      <c r="G28" s="1"/>
      <c r="H28" s="1"/>
      <c r="I28" s="1"/>
      <c r="J28" s="1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6"/>
      <c r="C29" s="1"/>
      <c r="D29" s="1"/>
      <c r="E29" s="1"/>
      <c r="F29" s="1"/>
      <c r="G29" s="1"/>
      <c r="H29" s="1"/>
      <c r="I29" s="1"/>
      <c r="J29" s="1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6"/>
      <c r="C30" s="1"/>
      <c r="D30" s="1"/>
      <c r="E30" s="1"/>
      <c r="F30" s="1"/>
      <c r="G30" s="1"/>
      <c r="H30" s="1"/>
      <c r="I30" s="1"/>
      <c r="J30" s="1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6"/>
      <c r="C31" s="1"/>
      <c r="D31" s="1"/>
      <c r="E31" s="1"/>
      <c r="F31" s="1"/>
      <c r="G31" s="1"/>
      <c r="H31" s="1"/>
      <c r="I31" s="1"/>
      <c r="J31" s="1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6"/>
      <c r="C32" s="1"/>
      <c r="D32" s="1"/>
      <c r="E32" s="1"/>
      <c r="F32" s="1"/>
      <c r="G32" s="1"/>
      <c r="H32" s="1"/>
      <c r="I32" s="1"/>
      <c r="J32" s="1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6"/>
      <c r="C33" s="1"/>
      <c r="D33" s="1"/>
      <c r="E33" s="1"/>
      <c r="F33" s="1"/>
      <c r="G33" s="1"/>
      <c r="H33" s="1"/>
      <c r="I33" s="1"/>
      <c r="J33" s="1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6"/>
      <c r="C34" s="1"/>
      <c r="D34" s="1"/>
      <c r="E34" s="1"/>
      <c r="F34" s="1"/>
      <c r="G34" s="1"/>
      <c r="H34" s="1"/>
      <c r="I34" s="1"/>
      <c r="J34" s="17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6"/>
      <c r="C35" s="1"/>
      <c r="D35" s="1"/>
      <c r="E35" s="1"/>
      <c r="F35" s="1"/>
      <c r="G35" s="1"/>
      <c r="H35" s="1"/>
      <c r="I35" s="1"/>
      <c r="J35" s="17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6"/>
      <c r="C36" s="1"/>
      <c r="D36" s="1"/>
      <c r="E36" s="1"/>
      <c r="F36" s="1"/>
      <c r="G36" s="1"/>
      <c r="H36" s="1"/>
      <c r="I36" s="1"/>
      <c r="J36" s="1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6"/>
      <c r="C37" s="1"/>
      <c r="D37" s="1"/>
      <c r="E37" s="1"/>
      <c r="F37" s="1"/>
      <c r="G37" s="1"/>
      <c r="H37" s="1"/>
      <c r="I37" s="1"/>
      <c r="J37" s="1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6"/>
      <c r="C38" s="1"/>
      <c r="D38" s="1"/>
      <c r="E38" s="1"/>
      <c r="F38" s="1"/>
      <c r="G38" s="1"/>
      <c r="H38" s="1"/>
      <c r="I38" s="1"/>
      <c r="J38" s="1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6"/>
      <c r="C39" s="1"/>
      <c r="D39" s="1"/>
      <c r="E39" s="1"/>
      <c r="F39" s="1"/>
      <c r="G39" s="1"/>
      <c r="H39" s="1"/>
      <c r="I39" s="1"/>
      <c r="J39" s="1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6"/>
      <c r="C40" s="1"/>
      <c r="D40" s="1"/>
      <c r="E40" s="1"/>
      <c r="F40" s="1"/>
      <c r="G40" s="1"/>
      <c r="H40" s="1"/>
      <c r="I40" s="1"/>
      <c r="J40" s="1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6"/>
      <c r="C41" s="1"/>
      <c r="D41" s="1"/>
      <c r="E41" s="1"/>
      <c r="F41" s="1"/>
      <c r="G41" s="1"/>
      <c r="H41" s="1"/>
      <c r="I41" s="1"/>
      <c r="J41" s="1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6"/>
      <c r="C42" s="1"/>
      <c r="D42" s="1"/>
      <c r="E42" s="1"/>
      <c r="F42" s="1"/>
      <c r="G42" s="1"/>
      <c r="H42" s="1"/>
      <c r="I42" s="1"/>
      <c r="J42" s="1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8"/>
      <c r="C43" s="19"/>
      <c r="D43" s="19"/>
      <c r="E43" s="19"/>
      <c r="F43" s="19"/>
      <c r="G43" s="19"/>
      <c r="H43" s="19"/>
      <c r="I43" s="19"/>
      <c r="J43" s="20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2">
      <c r="A45" s="1"/>
      <c r="B45" s="78" t="s">
        <v>18</v>
      </c>
      <c r="C45" s="73"/>
      <c r="D45" s="73"/>
      <c r="E45" s="73"/>
      <c r="F45" s="73"/>
      <c r="G45" s="73"/>
      <c r="H45" s="73"/>
      <c r="I45" s="73"/>
      <c r="J45" s="7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6"/>
      <c r="C46" s="1"/>
      <c r="D46" s="1"/>
      <c r="E46" s="1"/>
      <c r="F46" s="1"/>
      <c r="G46" s="1"/>
      <c r="H46" s="1"/>
      <c r="I46" s="1"/>
      <c r="J46" s="1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6"/>
      <c r="C47" s="1"/>
      <c r="D47" s="1"/>
      <c r="E47" s="1"/>
      <c r="F47" s="1"/>
      <c r="G47" s="1"/>
      <c r="H47" s="1"/>
      <c r="I47" s="1"/>
      <c r="J47" s="1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6"/>
      <c r="C48" s="1"/>
      <c r="D48" s="1"/>
      <c r="E48" s="1"/>
      <c r="F48" s="1"/>
      <c r="G48" s="1"/>
      <c r="H48" s="1"/>
      <c r="I48" s="1"/>
      <c r="J48" s="17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6"/>
      <c r="C49" s="1"/>
      <c r="D49" s="1"/>
      <c r="E49" s="1"/>
      <c r="F49" s="1"/>
      <c r="G49" s="1"/>
      <c r="H49" s="1"/>
      <c r="I49" s="1"/>
      <c r="J49" s="1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6"/>
      <c r="C50" s="1"/>
      <c r="D50" s="1"/>
      <c r="E50" s="1"/>
      <c r="F50" s="1"/>
      <c r="G50" s="1"/>
      <c r="H50" s="1"/>
      <c r="I50" s="1"/>
      <c r="J50" s="17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6"/>
      <c r="C51" s="1"/>
      <c r="D51" s="1"/>
      <c r="E51" s="1"/>
      <c r="F51" s="1"/>
      <c r="G51" s="1"/>
      <c r="H51" s="1"/>
      <c r="I51" s="1"/>
      <c r="J51" s="1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6"/>
      <c r="C52" s="1"/>
      <c r="D52" s="1"/>
      <c r="E52" s="1"/>
      <c r="F52" s="1"/>
      <c r="G52" s="1"/>
      <c r="H52" s="1"/>
      <c r="I52" s="1"/>
      <c r="J52" s="1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6"/>
      <c r="C53" s="1"/>
      <c r="D53" s="1"/>
      <c r="E53" s="1"/>
      <c r="F53" s="1"/>
      <c r="G53" s="1"/>
      <c r="H53" s="1"/>
      <c r="I53" s="1"/>
      <c r="J53" s="17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6"/>
      <c r="C54" s="1"/>
      <c r="D54" s="1"/>
      <c r="E54" s="1"/>
      <c r="F54" s="1"/>
      <c r="G54" s="1"/>
      <c r="H54" s="1"/>
      <c r="I54" s="1"/>
      <c r="J54" s="17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6"/>
      <c r="C55" s="1"/>
      <c r="D55" s="1"/>
      <c r="E55" s="1"/>
      <c r="F55" s="1"/>
      <c r="G55" s="1"/>
      <c r="H55" s="1"/>
      <c r="I55" s="1"/>
      <c r="J55" s="17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6"/>
      <c r="C56" s="1"/>
      <c r="D56" s="1"/>
      <c r="E56" s="1"/>
      <c r="F56" s="1"/>
      <c r="G56" s="1"/>
      <c r="H56" s="1"/>
      <c r="I56" s="1"/>
      <c r="J56" s="17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6"/>
      <c r="C57" s="1"/>
      <c r="D57" s="1"/>
      <c r="E57" s="1"/>
      <c r="F57" s="1"/>
      <c r="G57" s="1"/>
      <c r="H57" s="1"/>
      <c r="I57" s="1"/>
      <c r="J57" s="17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6"/>
      <c r="C58" s="1"/>
      <c r="D58" s="1"/>
      <c r="E58" s="1"/>
      <c r="F58" s="1"/>
      <c r="G58" s="1"/>
      <c r="H58" s="1"/>
      <c r="I58" s="1"/>
      <c r="J58" s="17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6"/>
      <c r="C59" s="1"/>
      <c r="D59" s="1"/>
      <c r="E59" s="1"/>
      <c r="F59" s="1"/>
      <c r="G59" s="1"/>
      <c r="H59" s="1"/>
      <c r="I59" s="1"/>
      <c r="J59" s="17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6"/>
      <c r="C60" s="1"/>
      <c r="D60" s="1"/>
      <c r="E60" s="1"/>
      <c r="F60" s="1"/>
      <c r="G60" s="1"/>
      <c r="H60" s="1"/>
      <c r="I60" s="1"/>
      <c r="J60" s="17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6"/>
      <c r="C61" s="1"/>
      <c r="D61" s="1"/>
      <c r="E61" s="1"/>
      <c r="F61" s="1"/>
      <c r="G61" s="1"/>
      <c r="H61" s="1"/>
      <c r="I61" s="1"/>
      <c r="J61" s="17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6"/>
      <c r="C62" s="1"/>
      <c r="D62" s="1"/>
      <c r="E62" s="1"/>
      <c r="F62" s="1"/>
      <c r="G62" s="1"/>
      <c r="H62" s="1"/>
      <c r="I62" s="1"/>
      <c r="J62" s="17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6"/>
      <c r="C63" s="1"/>
      <c r="D63" s="1"/>
      <c r="E63" s="1"/>
      <c r="F63" s="1"/>
      <c r="G63" s="1"/>
      <c r="H63" s="1"/>
      <c r="I63" s="1"/>
      <c r="J63" s="17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6"/>
      <c r="C64" s="1"/>
      <c r="D64" s="1"/>
      <c r="E64" s="1"/>
      <c r="F64" s="1"/>
      <c r="G64" s="1"/>
      <c r="H64" s="1"/>
      <c r="I64" s="1"/>
      <c r="J64" s="17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6"/>
      <c r="C65" s="1"/>
      <c r="D65" s="1"/>
      <c r="E65" s="1"/>
      <c r="F65" s="1"/>
      <c r="G65" s="1"/>
      <c r="H65" s="1"/>
      <c r="I65" s="1"/>
      <c r="J65" s="17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6"/>
      <c r="C66" s="1"/>
      <c r="D66" s="1"/>
      <c r="E66" s="1"/>
      <c r="F66" s="1"/>
      <c r="G66" s="1"/>
      <c r="H66" s="1"/>
      <c r="I66" s="1"/>
      <c r="J66" s="17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6"/>
      <c r="C67" s="1"/>
      <c r="D67" s="1"/>
      <c r="E67" s="1"/>
      <c r="F67" s="1"/>
      <c r="G67" s="1"/>
      <c r="H67" s="1"/>
      <c r="I67" s="1"/>
      <c r="J67" s="1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8"/>
      <c r="C68" s="19"/>
      <c r="D68" s="19"/>
      <c r="E68" s="19"/>
      <c r="F68" s="19"/>
      <c r="G68" s="19"/>
      <c r="H68" s="19"/>
      <c r="I68" s="19"/>
      <c r="J68" s="2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2">
      <c r="A70" s="1"/>
      <c r="B70" s="78" t="s">
        <v>19</v>
      </c>
      <c r="C70" s="73"/>
      <c r="D70" s="73"/>
      <c r="E70" s="73"/>
      <c r="F70" s="73"/>
      <c r="G70" s="73"/>
      <c r="H70" s="73"/>
      <c r="I70" s="73"/>
      <c r="J70" s="7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6"/>
      <c r="C71" s="1"/>
      <c r="D71" s="1"/>
      <c r="E71" s="1"/>
      <c r="F71" s="1"/>
      <c r="G71" s="1"/>
      <c r="H71" s="1"/>
      <c r="I71" s="1"/>
      <c r="J71" s="1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6"/>
      <c r="C72" s="1"/>
      <c r="D72" s="1"/>
      <c r="E72" s="1"/>
      <c r="F72" s="1"/>
      <c r="G72" s="1"/>
      <c r="H72" s="1"/>
      <c r="I72" s="1"/>
      <c r="J72" s="1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6"/>
      <c r="C73" s="1"/>
      <c r="D73" s="1"/>
      <c r="E73" s="1"/>
      <c r="F73" s="1"/>
      <c r="G73" s="1"/>
      <c r="H73" s="1"/>
      <c r="I73" s="1"/>
      <c r="J73" s="1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6"/>
      <c r="C74" s="1"/>
      <c r="D74" s="1"/>
      <c r="E74" s="1"/>
      <c r="F74" s="1"/>
      <c r="G74" s="1"/>
      <c r="H74" s="1"/>
      <c r="I74" s="1"/>
      <c r="J74" s="1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6"/>
      <c r="C75" s="1"/>
      <c r="D75" s="1"/>
      <c r="E75" s="1"/>
      <c r="F75" s="1"/>
      <c r="G75" s="1"/>
      <c r="H75" s="1"/>
      <c r="I75" s="1"/>
      <c r="J75" s="17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6"/>
      <c r="C76" s="1"/>
      <c r="D76" s="1"/>
      <c r="E76" s="1"/>
      <c r="F76" s="1"/>
      <c r="G76" s="1"/>
      <c r="H76" s="1"/>
      <c r="I76" s="1"/>
      <c r="J76" s="17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6"/>
      <c r="C77" s="1"/>
      <c r="D77" s="1"/>
      <c r="E77" s="1"/>
      <c r="F77" s="1"/>
      <c r="G77" s="1"/>
      <c r="H77" s="1"/>
      <c r="I77" s="1"/>
      <c r="J77" s="17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6"/>
      <c r="C78" s="1"/>
      <c r="D78" s="1"/>
      <c r="E78" s="1"/>
      <c r="F78" s="1"/>
      <c r="G78" s="1"/>
      <c r="H78" s="1"/>
      <c r="I78" s="1"/>
      <c r="J78" s="1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6"/>
      <c r="C79" s="1"/>
      <c r="D79" s="1"/>
      <c r="E79" s="1"/>
      <c r="F79" s="1"/>
      <c r="G79" s="1"/>
      <c r="H79" s="1"/>
      <c r="I79" s="1"/>
      <c r="J79" s="1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6"/>
      <c r="C80" s="1"/>
      <c r="D80" s="1"/>
      <c r="E80" s="1"/>
      <c r="F80" s="1"/>
      <c r="G80" s="1"/>
      <c r="H80" s="1"/>
      <c r="I80" s="1"/>
      <c r="J80" s="17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6"/>
      <c r="C81" s="1"/>
      <c r="D81" s="1"/>
      <c r="E81" s="1"/>
      <c r="F81" s="1"/>
      <c r="G81" s="1"/>
      <c r="H81" s="1"/>
      <c r="I81" s="1"/>
      <c r="J81" s="17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6"/>
      <c r="C82" s="1"/>
      <c r="D82" s="1"/>
      <c r="E82" s="1"/>
      <c r="F82" s="1"/>
      <c r="G82" s="1"/>
      <c r="H82" s="1"/>
      <c r="I82" s="1"/>
      <c r="J82" s="17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6"/>
      <c r="C83" s="1"/>
      <c r="D83" s="1"/>
      <c r="E83" s="1"/>
      <c r="F83" s="1"/>
      <c r="G83" s="1"/>
      <c r="H83" s="1"/>
      <c r="I83" s="1"/>
      <c r="J83" s="17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6"/>
      <c r="C84" s="1"/>
      <c r="D84" s="1"/>
      <c r="E84" s="1"/>
      <c r="F84" s="1"/>
      <c r="G84" s="1"/>
      <c r="H84" s="1"/>
      <c r="I84" s="1"/>
      <c r="J84" s="17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6"/>
      <c r="C85" s="1"/>
      <c r="D85" s="1"/>
      <c r="E85" s="1"/>
      <c r="F85" s="1"/>
      <c r="G85" s="1"/>
      <c r="H85" s="1"/>
      <c r="I85" s="1"/>
      <c r="J85" s="17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6"/>
      <c r="C86" s="1"/>
      <c r="D86" s="1"/>
      <c r="E86" s="1"/>
      <c r="F86" s="1"/>
      <c r="G86" s="1"/>
      <c r="H86" s="1"/>
      <c r="I86" s="1"/>
      <c r="J86" s="17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6"/>
      <c r="C87" s="1"/>
      <c r="D87" s="1"/>
      <c r="E87" s="1"/>
      <c r="F87" s="1"/>
      <c r="G87" s="1"/>
      <c r="H87" s="1"/>
      <c r="I87" s="1"/>
      <c r="J87" s="17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6"/>
      <c r="C88" s="1"/>
      <c r="D88" s="1"/>
      <c r="E88" s="1"/>
      <c r="F88" s="1"/>
      <c r="G88" s="1"/>
      <c r="H88" s="1"/>
      <c r="I88" s="1"/>
      <c r="J88" s="17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6"/>
      <c r="C89" s="1"/>
      <c r="D89" s="1"/>
      <c r="E89" s="1"/>
      <c r="F89" s="1"/>
      <c r="G89" s="1"/>
      <c r="H89" s="1"/>
      <c r="I89" s="1"/>
      <c r="J89" s="17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6"/>
      <c r="C90" s="1"/>
      <c r="D90" s="1"/>
      <c r="E90" s="1"/>
      <c r="F90" s="1"/>
      <c r="G90" s="1"/>
      <c r="H90" s="1"/>
      <c r="I90" s="1"/>
      <c r="J90" s="17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6"/>
      <c r="C91" s="1"/>
      <c r="D91" s="1"/>
      <c r="E91" s="1"/>
      <c r="F91" s="1"/>
      <c r="G91" s="1"/>
      <c r="H91" s="1"/>
      <c r="I91" s="1"/>
      <c r="J91" s="17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6"/>
      <c r="C92" s="1"/>
      <c r="D92" s="1"/>
      <c r="E92" s="1"/>
      <c r="F92" s="1"/>
      <c r="G92" s="1"/>
      <c r="H92" s="1"/>
      <c r="I92" s="1"/>
      <c r="J92" s="17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8"/>
      <c r="C93" s="19"/>
      <c r="D93" s="19"/>
      <c r="E93" s="19"/>
      <c r="F93" s="19"/>
      <c r="G93" s="19"/>
      <c r="H93" s="19"/>
      <c r="I93" s="19"/>
      <c r="J93" s="20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x14ac:dyDescent="0.2">
      <c r="A95" s="1"/>
      <c r="B95" s="78" t="s">
        <v>20</v>
      </c>
      <c r="C95" s="73"/>
      <c r="D95" s="73"/>
      <c r="E95" s="73"/>
      <c r="F95" s="73"/>
      <c r="G95" s="73"/>
      <c r="H95" s="73"/>
      <c r="I95" s="73"/>
      <c r="J95" s="74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6"/>
      <c r="C96" s="1"/>
      <c r="D96" s="1"/>
      <c r="E96" s="1"/>
      <c r="F96" s="1"/>
      <c r="G96" s="1"/>
      <c r="H96" s="1"/>
      <c r="I96" s="1"/>
      <c r="J96" s="17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6"/>
      <c r="C97" s="1"/>
      <c r="D97" s="1"/>
      <c r="E97" s="1"/>
      <c r="F97" s="1"/>
      <c r="G97" s="1"/>
      <c r="H97" s="1"/>
      <c r="I97" s="1"/>
      <c r="J97" s="17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6"/>
      <c r="C98" s="1"/>
      <c r="D98" s="1"/>
      <c r="E98" s="1"/>
      <c r="F98" s="1"/>
      <c r="G98" s="1"/>
      <c r="H98" s="1"/>
      <c r="I98" s="1"/>
      <c r="J98" s="17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6"/>
      <c r="C99" s="1"/>
      <c r="D99" s="1"/>
      <c r="E99" s="1"/>
      <c r="F99" s="1"/>
      <c r="G99" s="1"/>
      <c r="H99" s="1"/>
      <c r="I99" s="1"/>
      <c r="J99" s="17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6"/>
      <c r="C100" s="1"/>
      <c r="D100" s="1"/>
      <c r="E100" s="1"/>
      <c r="F100" s="1"/>
      <c r="G100" s="1"/>
      <c r="H100" s="1"/>
      <c r="I100" s="1"/>
      <c r="J100" s="17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6"/>
      <c r="C101" s="1"/>
      <c r="D101" s="1"/>
      <c r="E101" s="1"/>
      <c r="F101" s="1"/>
      <c r="G101" s="1"/>
      <c r="H101" s="1"/>
      <c r="I101" s="1"/>
      <c r="J101" s="17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6"/>
      <c r="C102" s="1"/>
      <c r="D102" s="1"/>
      <c r="E102" s="1"/>
      <c r="F102" s="1"/>
      <c r="G102" s="1"/>
      <c r="H102" s="1"/>
      <c r="I102" s="1"/>
      <c r="J102" s="17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6"/>
      <c r="C103" s="1"/>
      <c r="D103" s="1"/>
      <c r="E103" s="1"/>
      <c r="F103" s="1"/>
      <c r="G103" s="1"/>
      <c r="H103" s="1"/>
      <c r="I103" s="1"/>
      <c r="J103" s="17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6"/>
      <c r="C104" s="1"/>
      <c r="D104" s="1"/>
      <c r="E104" s="1"/>
      <c r="F104" s="1"/>
      <c r="G104" s="1"/>
      <c r="H104" s="1"/>
      <c r="I104" s="1"/>
      <c r="J104" s="17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6"/>
      <c r="C105" s="1"/>
      <c r="D105" s="1"/>
      <c r="E105" s="1"/>
      <c r="F105" s="1"/>
      <c r="G105" s="1"/>
      <c r="H105" s="1"/>
      <c r="I105" s="1"/>
      <c r="J105" s="17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6"/>
      <c r="C106" s="1"/>
      <c r="D106" s="1"/>
      <c r="E106" s="1"/>
      <c r="F106" s="1"/>
      <c r="G106" s="1"/>
      <c r="H106" s="1"/>
      <c r="I106" s="1"/>
      <c r="J106" s="17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6"/>
      <c r="C107" s="1"/>
      <c r="D107" s="1"/>
      <c r="E107" s="1"/>
      <c r="F107" s="1"/>
      <c r="G107" s="1"/>
      <c r="H107" s="1"/>
      <c r="I107" s="1"/>
      <c r="J107" s="17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6"/>
      <c r="C108" s="1"/>
      <c r="D108" s="1"/>
      <c r="E108" s="1"/>
      <c r="F108" s="1"/>
      <c r="G108" s="1"/>
      <c r="H108" s="1"/>
      <c r="I108" s="1"/>
      <c r="J108" s="17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6"/>
      <c r="C109" s="1"/>
      <c r="D109" s="1"/>
      <c r="E109" s="1"/>
      <c r="F109" s="1"/>
      <c r="G109" s="1"/>
      <c r="H109" s="1"/>
      <c r="I109" s="1"/>
      <c r="J109" s="17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6"/>
      <c r="C110" s="1"/>
      <c r="D110" s="1"/>
      <c r="E110" s="1"/>
      <c r="F110" s="1"/>
      <c r="G110" s="1"/>
      <c r="H110" s="1"/>
      <c r="I110" s="1"/>
      <c r="J110" s="17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6"/>
      <c r="C111" s="1"/>
      <c r="D111" s="1"/>
      <c r="E111" s="1"/>
      <c r="F111" s="1"/>
      <c r="G111" s="1"/>
      <c r="H111" s="1"/>
      <c r="I111" s="1"/>
      <c r="J111" s="17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6"/>
      <c r="C112" s="1"/>
      <c r="D112" s="1"/>
      <c r="E112" s="1"/>
      <c r="F112" s="1"/>
      <c r="G112" s="1"/>
      <c r="H112" s="1"/>
      <c r="I112" s="1"/>
      <c r="J112" s="17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6"/>
      <c r="C113" s="1"/>
      <c r="D113" s="1"/>
      <c r="E113" s="1"/>
      <c r="F113" s="1"/>
      <c r="G113" s="1"/>
      <c r="H113" s="1"/>
      <c r="I113" s="1"/>
      <c r="J113" s="17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6"/>
      <c r="C114" s="1"/>
      <c r="D114" s="1"/>
      <c r="E114" s="1"/>
      <c r="F114" s="1"/>
      <c r="G114" s="1"/>
      <c r="H114" s="1"/>
      <c r="I114" s="1"/>
      <c r="J114" s="17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6"/>
      <c r="C115" s="1"/>
      <c r="D115" s="1"/>
      <c r="E115" s="1"/>
      <c r="F115" s="1"/>
      <c r="G115" s="1"/>
      <c r="H115" s="1"/>
      <c r="I115" s="1"/>
      <c r="J115" s="17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6"/>
      <c r="C116" s="1"/>
      <c r="D116" s="1"/>
      <c r="E116" s="1"/>
      <c r="F116" s="1"/>
      <c r="G116" s="1"/>
      <c r="H116" s="1"/>
      <c r="I116" s="1"/>
      <c r="J116" s="17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6"/>
      <c r="C117" s="1"/>
      <c r="D117" s="1"/>
      <c r="E117" s="1"/>
      <c r="F117" s="1"/>
      <c r="G117" s="1"/>
      <c r="H117" s="1"/>
      <c r="I117" s="1"/>
      <c r="J117" s="17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8"/>
      <c r="C118" s="19"/>
      <c r="D118" s="19"/>
      <c r="E118" s="19"/>
      <c r="F118" s="19"/>
      <c r="G118" s="19"/>
      <c r="H118" s="19"/>
      <c r="I118" s="19"/>
      <c r="J118" s="20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2">
      <c r="A120" s="1"/>
      <c r="B120" s="78" t="s">
        <v>21</v>
      </c>
      <c r="C120" s="73"/>
      <c r="D120" s="73"/>
      <c r="E120" s="73"/>
      <c r="F120" s="73"/>
      <c r="G120" s="73"/>
      <c r="H120" s="73"/>
      <c r="I120" s="73"/>
      <c r="J120" s="74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6"/>
      <c r="C121" s="1"/>
      <c r="D121" s="1"/>
      <c r="E121" s="1"/>
      <c r="F121" s="1"/>
      <c r="G121" s="1"/>
      <c r="H121" s="1"/>
      <c r="I121" s="1"/>
      <c r="J121" s="17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6"/>
      <c r="C122" s="1"/>
      <c r="D122" s="1"/>
      <c r="E122" s="1"/>
      <c r="F122" s="1"/>
      <c r="G122" s="1"/>
      <c r="H122" s="1"/>
      <c r="I122" s="1"/>
      <c r="J122" s="17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6"/>
      <c r="C123" s="1"/>
      <c r="D123" s="1"/>
      <c r="E123" s="1"/>
      <c r="F123" s="1"/>
      <c r="G123" s="1"/>
      <c r="H123" s="1"/>
      <c r="I123" s="1"/>
      <c r="J123" s="17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6"/>
      <c r="C124" s="1"/>
      <c r="D124" s="1"/>
      <c r="E124" s="1"/>
      <c r="F124" s="1"/>
      <c r="G124" s="1"/>
      <c r="H124" s="1"/>
      <c r="I124" s="1"/>
      <c r="J124" s="17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6"/>
      <c r="C125" s="1"/>
      <c r="D125" s="1"/>
      <c r="E125" s="1"/>
      <c r="F125" s="1"/>
      <c r="G125" s="1"/>
      <c r="H125" s="1"/>
      <c r="I125" s="1"/>
      <c r="J125" s="17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6"/>
      <c r="C126" s="1"/>
      <c r="D126" s="1"/>
      <c r="E126" s="1"/>
      <c r="F126" s="1"/>
      <c r="G126" s="1"/>
      <c r="H126" s="1"/>
      <c r="I126" s="1"/>
      <c r="J126" s="17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6"/>
      <c r="C127" s="1"/>
      <c r="D127" s="1"/>
      <c r="E127" s="1"/>
      <c r="F127" s="1"/>
      <c r="G127" s="1"/>
      <c r="H127" s="1"/>
      <c r="I127" s="1"/>
      <c r="J127" s="17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6"/>
      <c r="C128" s="1"/>
      <c r="D128" s="1"/>
      <c r="E128" s="1"/>
      <c r="F128" s="1"/>
      <c r="G128" s="1"/>
      <c r="H128" s="1"/>
      <c r="I128" s="1"/>
      <c r="J128" s="17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6"/>
      <c r="C129" s="1"/>
      <c r="D129" s="1"/>
      <c r="E129" s="1"/>
      <c r="F129" s="1"/>
      <c r="G129" s="1"/>
      <c r="H129" s="1"/>
      <c r="I129" s="1"/>
      <c r="J129" s="17"/>
      <c r="K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6"/>
      <c r="C130" s="1"/>
      <c r="D130" s="1"/>
      <c r="E130" s="1"/>
      <c r="F130" s="1"/>
      <c r="G130" s="1"/>
      <c r="H130" s="1"/>
      <c r="I130" s="1"/>
      <c r="J130" s="17"/>
      <c r="K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6"/>
      <c r="C131" s="1"/>
      <c r="D131" s="1"/>
      <c r="E131" s="1"/>
      <c r="F131" s="1"/>
      <c r="G131" s="1"/>
      <c r="H131" s="1"/>
      <c r="I131" s="1"/>
      <c r="J131" s="17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6"/>
      <c r="C132" s="1"/>
      <c r="D132" s="1"/>
      <c r="E132" s="1"/>
      <c r="F132" s="1"/>
      <c r="G132" s="1"/>
      <c r="H132" s="1"/>
      <c r="I132" s="1"/>
      <c r="J132" s="17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6"/>
      <c r="C133" s="1"/>
      <c r="D133" s="1"/>
      <c r="E133" s="1"/>
      <c r="F133" s="1"/>
      <c r="G133" s="1"/>
      <c r="H133" s="1"/>
      <c r="I133" s="1"/>
      <c r="J133" s="17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6"/>
      <c r="C134" s="1"/>
      <c r="D134" s="1"/>
      <c r="E134" s="1"/>
      <c r="F134" s="1"/>
      <c r="G134" s="1"/>
      <c r="H134" s="1"/>
      <c r="I134" s="1"/>
      <c r="J134" s="17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6"/>
      <c r="C135" s="1"/>
      <c r="D135" s="1"/>
      <c r="E135" s="1"/>
      <c r="F135" s="1"/>
      <c r="G135" s="1"/>
      <c r="H135" s="1"/>
      <c r="I135" s="1"/>
      <c r="J135" s="17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6"/>
      <c r="C136" s="1"/>
      <c r="D136" s="1"/>
      <c r="E136" s="1"/>
      <c r="F136" s="1"/>
      <c r="G136" s="1"/>
      <c r="H136" s="1"/>
      <c r="I136" s="1"/>
      <c r="J136" s="17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6"/>
      <c r="C137" s="1"/>
      <c r="D137" s="1"/>
      <c r="E137" s="1"/>
      <c r="F137" s="1"/>
      <c r="G137" s="1"/>
      <c r="H137" s="1"/>
      <c r="I137" s="1"/>
      <c r="J137" s="17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6"/>
      <c r="C138" s="1"/>
      <c r="D138" s="1"/>
      <c r="E138" s="1"/>
      <c r="F138" s="1"/>
      <c r="G138" s="1"/>
      <c r="H138" s="1"/>
      <c r="I138" s="1"/>
      <c r="J138" s="17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6"/>
      <c r="C139" s="1"/>
      <c r="D139" s="1"/>
      <c r="E139" s="1"/>
      <c r="F139" s="1"/>
      <c r="G139" s="1"/>
      <c r="H139" s="1"/>
      <c r="I139" s="1"/>
      <c r="J139" s="17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6"/>
      <c r="C140" s="1"/>
      <c r="D140" s="1"/>
      <c r="E140" s="1"/>
      <c r="F140" s="1"/>
      <c r="G140" s="1"/>
      <c r="H140" s="1"/>
      <c r="I140" s="1"/>
      <c r="J140" s="17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6"/>
      <c r="C141" s="1"/>
      <c r="D141" s="1"/>
      <c r="E141" s="1"/>
      <c r="F141" s="1"/>
      <c r="G141" s="1"/>
      <c r="H141" s="1"/>
      <c r="I141" s="1"/>
      <c r="J141" s="17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6"/>
      <c r="C142" s="1"/>
      <c r="D142" s="1"/>
      <c r="E142" s="1"/>
      <c r="F142" s="1"/>
      <c r="G142" s="1"/>
      <c r="H142" s="1"/>
      <c r="I142" s="1"/>
      <c r="J142" s="17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8"/>
      <c r="C143" s="19"/>
      <c r="D143" s="19"/>
      <c r="E143" s="19"/>
      <c r="F143" s="19"/>
      <c r="G143" s="19"/>
      <c r="H143" s="19"/>
      <c r="I143" s="19"/>
      <c r="J143" s="20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B120:J120"/>
    <mergeCell ref="B2:J2"/>
    <mergeCell ref="J6:J7"/>
    <mergeCell ref="B20:J20"/>
    <mergeCell ref="B45:J45"/>
    <mergeCell ref="B70:J70"/>
    <mergeCell ref="B95:J95"/>
  </mergeCells>
  <pageMargins left="1.75" right="0.25" top="0.5" bottom="0" header="0.3" footer="0.3"/>
  <pageSetup paperSize="9" scale="33" orientation="portrait"/>
  <headerFooter>
    <oddFooter>&amp;R&amp;"Calibri,Normal"&amp;14&amp;K000000JF Dubroca/ Janvier 2025</oddFooter>
  </headerFooter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B1:J1000"/>
  <sheetViews>
    <sheetView showGridLines="0" topLeftCell="A3" zoomScale="125" zoomScaleNormal="125" zoomScaleSheetLayoutView="56" zoomScalePageLayoutView="150" workbookViewId="0">
      <selection activeCell="B11" sqref="B11"/>
    </sheetView>
  </sheetViews>
  <sheetFormatPr baseColWidth="10" defaultColWidth="7.1640625" defaultRowHeight="15" customHeight="1" x14ac:dyDescent="0.2"/>
  <cols>
    <col min="2" max="2" width="30.83203125" customWidth="1"/>
    <col min="3" max="3" width="11.1640625" bestFit="1" customWidth="1"/>
    <col min="4" max="7" width="14.5" bestFit="1" customWidth="1"/>
    <col min="8" max="8" width="19" bestFit="1" customWidth="1"/>
    <col min="9" max="9" width="11" bestFit="1" customWidth="1"/>
    <col min="10" max="10" width="30.83203125" customWidth="1"/>
    <col min="11" max="11" width="34.33203125" customWidth="1"/>
    <col min="12" max="28" width="10.6640625" customWidth="1"/>
  </cols>
  <sheetData>
    <row r="1" spans="2:10" ht="16" thickBot="1" x14ac:dyDescent="0.25">
      <c r="C1" s="21"/>
      <c r="D1" s="22"/>
      <c r="E1" s="22"/>
      <c r="F1" s="22"/>
      <c r="G1" s="22"/>
      <c r="H1" s="22"/>
      <c r="I1" s="22"/>
    </row>
    <row r="2" spans="2:10" ht="31.5" customHeight="1" thickBot="1" x14ac:dyDescent="0.35">
      <c r="B2" s="57" t="s">
        <v>22</v>
      </c>
      <c r="C2" s="58"/>
      <c r="D2" s="58"/>
      <c r="E2" s="58"/>
      <c r="F2" s="58"/>
      <c r="G2" s="58"/>
      <c r="H2" s="58"/>
      <c r="I2" s="58"/>
      <c r="J2" s="59"/>
    </row>
    <row r="3" spans="2:10" x14ac:dyDescent="0.2">
      <c r="C3" s="21"/>
      <c r="D3" s="22"/>
      <c r="E3" s="22"/>
      <c r="F3" s="22"/>
      <c r="G3" s="22"/>
      <c r="H3" s="22"/>
      <c r="I3" s="22"/>
    </row>
    <row r="4" spans="2:10" ht="15" customHeight="1" x14ac:dyDescent="0.2">
      <c r="D4" s="47" t="s">
        <v>26</v>
      </c>
      <c r="E4" s="47" t="s">
        <v>36</v>
      </c>
    </row>
    <row r="5" spans="2:10" ht="15" customHeight="1" x14ac:dyDescent="0.2">
      <c r="D5" s="64" t="s">
        <v>8</v>
      </c>
      <c r="E5" s="65"/>
      <c r="F5" s="70" t="s">
        <v>9</v>
      </c>
      <c r="G5" s="70"/>
      <c r="H5" t="s">
        <v>29</v>
      </c>
      <c r="I5" t="s">
        <v>31</v>
      </c>
    </row>
    <row r="6" spans="2:10" ht="15" customHeight="1" x14ac:dyDescent="0.2">
      <c r="C6" s="47" t="s">
        <v>23</v>
      </c>
      <c r="D6" s="63" t="s">
        <v>30</v>
      </c>
      <c r="E6" s="62" t="s">
        <v>32</v>
      </c>
      <c r="F6" s="69" t="s">
        <v>30</v>
      </c>
      <c r="G6" s="68" t="s">
        <v>32</v>
      </c>
    </row>
    <row r="7" spans="2:10" ht="15" customHeight="1" x14ac:dyDescent="0.2">
      <c r="C7" s="61">
        <v>24</v>
      </c>
      <c r="D7" s="66">
        <v>10</v>
      </c>
      <c r="E7" s="67">
        <v>631.71</v>
      </c>
      <c r="F7" s="71">
        <v>14</v>
      </c>
      <c r="G7" s="72">
        <v>878.62000000000012</v>
      </c>
      <c r="H7" s="49">
        <v>24</v>
      </c>
      <c r="I7" s="48">
        <v>1510.3300000000002</v>
      </c>
    </row>
    <row r="8" spans="2:10" ht="15" customHeight="1" x14ac:dyDescent="0.2">
      <c r="C8" s="61">
        <v>25</v>
      </c>
      <c r="D8" s="66">
        <v>5</v>
      </c>
      <c r="E8" s="67">
        <v>368.74</v>
      </c>
      <c r="F8" s="71">
        <v>18</v>
      </c>
      <c r="G8" s="72">
        <v>1028.4100000000001</v>
      </c>
      <c r="H8" s="49">
        <v>23</v>
      </c>
      <c r="I8" s="48">
        <v>1397.1499999999999</v>
      </c>
    </row>
    <row r="9" spans="2:10" ht="15" customHeight="1" x14ac:dyDescent="0.2">
      <c r="C9" s="61">
        <v>26</v>
      </c>
      <c r="D9" s="66">
        <v>10</v>
      </c>
      <c r="E9" s="67">
        <v>619.50999999999988</v>
      </c>
      <c r="F9" s="71">
        <v>11</v>
      </c>
      <c r="G9" s="72">
        <v>719.24000000000012</v>
      </c>
      <c r="H9" s="49">
        <v>21</v>
      </c>
      <c r="I9" s="48">
        <v>1338.7499999999998</v>
      </c>
    </row>
    <row r="10" spans="2:10" ht="15" customHeight="1" x14ac:dyDescent="0.2">
      <c r="C10" s="61">
        <v>36</v>
      </c>
      <c r="D10" s="66">
        <v>8</v>
      </c>
      <c r="E10" s="67">
        <v>505.64</v>
      </c>
      <c r="F10" s="71">
        <v>11</v>
      </c>
      <c r="G10" s="72">
        <v>729.20999999999992</v>
      </c>
      <c r="H10" s="49">
        <v>19</v>
      </c>
      <c r="I10" s="48">
        <v>1234.8499999999997</v>
      </c>
    </row>
    <row r="11" spans="2:10" ht="15" customHeight="1" x14ac:dyDescent="0.2">
      <c r="C11" s="61">
        <v>20</v>
      </c>
      <c r="D11" s="66">
        <v>6</v>
      </c>
      <c r="E11" s="67">
        <v>368.8</v>
      </c>
      <c r="F11" s="71">
        <v>12</v>
      </c>
      <c r="G11" s="72">
        <v>779.14999999999986</v>
      </c>
      <c r="H11" s="49">
        <v>18</v>
      </c>
      <c r="I11" s="48">
        <v>1147.95</v>
      </c>
    </row>
    <row r="12" spans="2:10" ht="15" customHeight="1" x14ac:dyDescent="0.2">
      <c r="C12" s="61">
        <v>35</v>
      </c>
      <c r="D12" s="66">
        <v>7</v>
      </c>
      <c r="E12" s="67">
        <v>482.34</v>
      </c>
      <c r="F12" s="71">
        <v>9</v>
      </c>
      <c r="G12" s="72">
        <v>639.66</v>
      </c>
      <c r="H12" s="49">
        <v>16</v>
      </c>
      <c r="I12" s="48">
        <v>1121.9999999999998</v>
      </c>
    </row>
    <row r="13" spans="2:10" ht="15" customHeight="1" x14ac:dyDescent="0.2">
      <c r="B13" s="60"/>
      <c r="C13" s="61">
        <v>31</v>
      </c>
      <c r="D13" s="66">
        <v>11</v>
      </c>
      <c r="E13" s="67">
        <v>589.95999999999992</v>
      </c>
      <c r="F13" s="71">
        <v>8</v>
      </c>
      <c r="G13" s="72">
        <v>525.25</v>
      </c>
      <c r="H13" s="49">
        <v>19</v>
      </c>
      <c r="I13" s="48">
        <v>1115.21</v>
      </c>
    </row>
    <row r="14" spans="2:10" ht="15" customHeight="1" x14ac:dyDescent="0.2">
      <c r="C14" s="61">
        <v>38</v>
      </c>
      <c r="D14" s="66">
        <v>10</v>
      </c>
      <c r="E14" s="67">
        <v>568.76</v>
      </c>
      <c r="F14" s="71">
        <v>9</v>
      </c>
      <c r="G14" s="72">
        <v>526.25</v>
      </c>
      <c r="H14" s="49">
        <v>19</v>
      </c>
      <c r="I14" s="48">
        <v>1095.01</v>
      </c>
    </row>
    <row r="15" spans="2:10" ht="15" customHeight="1" x14ac:dyDescent="0.2">
      <c r="C15" s="61">
        <v>15</v>
      </c>
      <c r="D15" s="66">
        <v>3</v>
      </c>
      <c r="E15" s="67">
        <v>190.66</v>
      </c>
      <c r="F15" s="71">
        <v>13</v>
      </c>
      <c r="G15" s="72">
        <v>872.33999999999992</v>
      </c>
      <c r="H15" s="49">
        <v>16</v>
      </c>
      <c r="I15" s="48">
        <v>1063</v>
      </c>
    </row>
    <row r="16" spans="2:10" ht="15" customHeight="1" x14ac:dyDescent="0.2">
      <c r="C16" s="61">
        <v>22</v>
      </c>
      <c r="D16" s="66">
        <v>5</v>
      </c>
      <c r="E16" s="67">
        <v>291.37</v>
      </c>
      <c r="F16" s="71">
        <v>10</v>
      </c>
      <c r="G16" s="72">
        <v>743.33</v>
      </c>
      <c r="H16" s="49">
        <v>15</v>
      </c>
      <c r="I16" s="48">
        <v>1034.7</v>
      </c>
    </row>
    <row r="17" spans="3:9" x14ac:dyDescent="0.2">
      <c r="C17" s="61">
        <v>28</v>
      </c>
      <c r="D17" s="66">
        <v>9</v>
      </c>
      <c r="E17" s="67">
        <v>544.32000000000005</v>
      </c>
      <c r="F17" s="71">
        <v>8</v>
      </c>
      <c r="G17" s="72">
        <v>481.02</v>
      </c>
      <c r="H17" s="49">
        <v>17</v>
      </c>
      <c r="I17" s="48">
        <v>1025.3400000000001</v>
      </c>
    </row>
    <row r="18" spans="3:9" x14ac:dyDescent="0.2">
      <c r="C18" s="61">
        <v>18</v>
      </c>
      <c r="D18" s="66">
        <v>8</v>
      </c>
      <c r="E18" s="67">
        <v>531.19000000000005</v>
      </c>
      <c r="F18" s="71">
        <v>7</v>
      </c>
      <c r="G18" s="72">
        <v>483.06</v>
      </c>
      <c r="H18" s="49">
        <v>15</v>
      </c>
      <c r="I18" s="48">
        <v>1014.25</v>
      </c>
    </row>
    <row r="19" spans="3:9" x14ac:dyDescent="0.2">
      <c r="C19" s="61">
        <v>30</v>
      </c>
      <c r="D19" s="66">
        <v>8</v>
      </c>
      <c r="E19" s="67">
        <v>481.38999999999993</v>
      </c>
      <c r="F19" s="71">
        <v>10</v>
      </c>
      <c r="G19" s="72">
        <v>519.32999999999993</v>
      </c>
      <c r="H19" s="49">
        <v>18</v>
      </c>
      <c r="I19" s="48">
        <v>1000.72</v>
      </c>
    </row>
    <row r="20" spans="3:9" x14ac:dyDescent="0.2">
      <c r="C20" s="61">
        <v>16</v>
      </c>
      <c r="D20" s="66">
        <v>6</v>
      </c>
      <c r="E20" s="67">
        <v>378.16</v>
      </c>
      <c r="F20" s="71">
        <v>8</v>
      </c>
      <c r="G20" s="72">
        <v>588.88</v>
      </c>
      <c r="H20" s="49">
        <v>14</v>
      </c>
      <c r="I20" s="48">
        <v>967.04</v>
      </c>
    </row>
    <row r="21" spans="3:9" x14ac:dyDescent="0.2">
      <c r="C21" s="61">
        <v>27</v>
      </c>
      <c r="D21" s="66">
        <v>7</v>
      </c>
      <c r="E21" s="67">
        <v>364.6</v>
      </c>
      <c r="F21" s="71">
        <v>10</v>
      </c>
      <c r="G21" s="72">
        <v>570.93000000000006</v>
      </c>
      <c r="H21" s="49">
        <v>17</v>
      </c>
      <c r="I21" s="48">
        <v>935.5300000000002</v>
      </c>
    </row>
    <row r="22" spans="3:9" ht="15.75" customHeight="1" x14ac:dyDescent="0.2">
      <c r="C22" s="61">
        <v>17</v>
      </c>
      <c r="D22" s="66">
        <v>3</v>
      </c>
      <c r="E22" s="67">
        <v>125.60999999999999</v>
      </c>
      <c r="F22" s="71">
        <v>13</v>
      </c>
      <c r="G22" s="72">
        <v>783.24999999999989</v>
      </c>
      <c r="H22" s="49">
        <v>16</v>
      </c>
      <c r="I22" s="48">
        <v>908.8599999999999</v>
      </c>
    </row>
    <row r="23" spans="3:9" ht="15.75" customHeight="1" x14ac:dyDescent="0.2">
      <c r="C23" s="61">
        <v>14</v>
      </c>
      <c r="D23" s="66">
        <v>4</v>
      </c>
      <c r="E23" s="67">
        <v>273.78000000000003</v>
      </c>
      <c r="F23" s="71">
        <v>10</v>
      </c>
      <c r="G23" s="72">
        <v>612.15000000000009</v>
      </c>
      <c r="H23" s="49">
        <v>14</v>
      </c>
      <c r="I23" s="48">
        <v>885.93000000000018</v>
      </c>
    </row>
    <row r="24" spans="3:9" ht="15.75" customHeight="1" x14ac:dyDescent="0.2">
      <c r="C24" s="61">
        <v>9</v>
      </c>
      <c r="D24" s="66">
        <v>5</v>
      </c>
      <c r="E24" s="67">
        <v>273.39</v>
      </c>
      <c r="F24" s="71">
        <v>11</v>
      </c>
      <c r="G24" s="72">
        <v>608.84</v>
      </c>
      <c r="H24" s="49">
        <v>16</v>
      </c>
      <c r="I24" s="48">
        <v>882.2299999999999</v>
      </c>
    </row>
    <row r="25" spans="3:9" ht="15.75" customHeight="1" x14ac:dyDescent="0.2">
      <c r="C25" s="61">
        <v>2</v>
      </c>
      <c r="D25" s="66">
        <v>2</v>
      </c>
      <c r="E25" s="67">
        <v>142.66</v>
      </c>
      <c r="F25" s="71">
        <v>10</v>
      </c>
      <c r="G25" s="72">
        <v>728.96999999999991</v>
      </c>
      <c r="H25" s="49">
        <v>12</v>
      </c>
      <c r="I25" s="48">
        <v>871.63</v>
      </c>
    </row>
    <row r="26" spans="3:9" ht="15.75" customHeight="1" x14ac:dyDescent="0.2">
      <c r="C26" s="61">
        <v>7</v>
      </c>
      <c r="D26" s="66">
        <v>8</v>
      </c>
      <c r="E26" s="67">
        <v>536.26999999999987</v>
      </c>
      <c r="F26" s="71">
        <v>8</v>
      </c>
      <c r="G26" s="72">
        <v>320.98999999999995</v>
      </c>
      <c r="H26" s="49">
        <v>16</v>
      </c>
      <c r="I26" s="48">
        <v>857.25999999999976</v>
      </c>
    </row>
    <row r="27" spans="3:9" ht="15.75" customHeight="1" x14ac:dyDescent="0.2">
      <c r="C27" s="61">
        <v>23</v>
      </c>
      <c r="D27" s="66">
        <v>8</v>
      </c>
      <c r="E27" s="67">
        <v>418.84</v>
      </c>
      <c r="F27" s="71">
        <v>7</v>
      </c>
      <c r="G27" s="72">
        <v>415.29999999999995</v>
      </c>
      <c r="H27" s="49">
        <v>15</v>
      </c>
      <c r="I27" s="48">
        <v>834.14</v>
      </c>
    </row>
    <row r="28" spans="3:9" ht="15.75" customHeight="1" x14ac:dyDescent="0.2">
      <c r="C28" s="61">
        <v>29</v>
      </c>
      <c r="D28" s="66">
        <v>5</v>
      </c>
      <c r="E28" s="67">
        <v>256.71999999999997</v>
      </c>
      <c r="F28" s="71">
        <v>11</v>
      </c>
      <c r="G28" s="72">
        <v>541.62000000000012</v>
      </c>
      <c r="H28" s="49">
        <v>16</v>
      </c>
      <c r="I28" s="48">
        <v>798.3399999999998</v>
      </c>
    </row>
    <row r="29" spans="3:9" ht="15.75" customHeight="1" x14ac:dyDescent="0.2">
      <c r="C29" s="61">
        <v>41</v>
      </c>
      <c r="D29" s="66">
        <v>4</v>
      </c>
      <c r="E29" s="67">
        <v>237.22999999999996</v>
      </c>
      <c r="F29" s="71">
        <v>7</v>
      </c>
      <c r="G29" s="72">
        <v>547.75</v>
      </c>
      <c r="H29" s="49">
        <v>11</v>
      </c>
      <c r="I29" s="48">
        <v>784.98</v>
      </c>
    </row>
    <row r="30" spans="3:9" ht="15.75" customHeight="1" x14ac:dyDescent="0.2">
      <c r="C30" s="61">
        <v>34</v>
      </c>
      <c r="D30" s="66">
        <v>8</v>
      </c>
      <c r="E30" s="67">
        <v>463.87</v>
      </c>
      <c r="F30" s="71">
        <v>6</v>
      </c>
      <c r="G30" s="72">
        <v>299.14999999999998</v>
      </c>
      <c r="H30" s="49">
        <v>14</v>
      </c>
      <c r="I30" s="48">
        <v>763.02</v>
      </c>
    </row>
    <row r="31" spans="3:9" ht="15.75" customHeight="1" x14ac:dyDescent="0.2">
      <c r="C31" s="61">
        <v>10</v>
      </c>
      <c r="D31" s="66">
        <v>5</v>
      </c>
      <c r="E31" s="67">
        <v>223.78</v>
      </c>
      <c r="F31" s="71">
        <v>10</v>
      </c>
      <c r="G31" s="72">
        <v>523.89</v>
      </c>
      <c r="H31" s="49">
        <v>15</v>
      </c>
      <c r="I31" s="48">
        <v>747.67000000000007</v>
      </c>
    </row>
    <row r="32" spans="3:9" ht="15.75" customHeight="1" x14ac:dyDescent="0.2">
      <c r="C32" s="61">
        <v>5</v>
      </c>
      <c r="D32" s="66">
        <v>3</v>
      </c>
      <c r="E32" s="67">
        <v>163.14000000000001</v>
      </c>
      <c r="F32" s="71">
        <v>10</v>
      </c>
      <c r="G32" s="72">
        <v>580.51999999999987</v>
      </c>
      <c r="H32" s="49">
        <v>13</v>
      </c>
      <c r="I32" s="48">
        <v>743.66</v>
      </c>
    </row>
    <row r="33" spans="3:9" ht="15.75" customHeight="1" x14ac:dyDescent="0.2">
      <c r="C33" s="61">
        <v>32</v>
      </c>
      <c r="D33" s="66"/>
      <c r="E33" s="67"/>
      <c r="F33" s="71">
        <v>11</v>
      </c>
      <c r="G33" s="72">
        <v>742.90999999999985</v>
      </c>
      <c r="H33" s="49">
        <v>11</v>
      </c>
      <c r="I33" s="48">
        <v>742.90999999999985</v>
      </c>
    </row>
    <row r="34" spans="3:9" ht="15.75" customHeight="1" x14ac:dyDescent="0.2">
      <c r="C34" s="61">
        <v>19</v>
      </c>
      <c r="D34" s="66">
        <v>3</v>
      </c>
      <c r="E34" s="67">
        <v>169.84</v>
      </c>
      <c r="F34" s="71">
        <v>11</v>
      </c>
      <c r="G34" s="72">
        <v>531.19000000000005</v>
      </c>
      <c r="H34" s="49">
        <v>14</v>
      </c>
      <c r="I34" s="48">
        <v>701.03</v>
      </c>
    </row>
    <row r="35" spans="3:9" ht="15.75" customHeight="1" x14ac:dyDescent="0.2">
      <c r="C35" s="61">
        <v>3</v>
      </c>
      <c r="D35" s="66">
        <v>5</v>
      </c>
      <c r="E35" s="67">
        <v>360.62</v>
      </c>
      <c r="F35" s="71">
        <v>4</v>
      </c>
      <c r="G35" s="72">
        <v>275.13</v>
      </c>
      <c r="H35" s="49">
        <v>9</v>
      </c>
      <c r="I35" s="48">
        <v>635.75000000000011</v>
      </c>
    </row>
    <row r="36" spans="3:9" ht="15.75" customHeight="1" x14ac:dyDescent="0.2">
      <c r="C36" s="61">
        <v>42</v>
      </c>
      <c r="D36" s="66">
        <v>3</v>
      </c>
      <c r="E36" s="67">
        <v>211.31</v>
      </c>
      <c r="F36" s="71">
        <v>7</v>
      </c>
      <c r="G36" s="72">
        <v>411.21000000000004</v>
      </c>
      <c r="H36" s="49">
        <v>10</v>
      </c>
      <c r="I36" s="48">
        <v>622.52</v>
      </c>
    </row>
    <row r="37" spans="3:9" ht="15.75" customHeight="1" x14ac:dyDescent="0.2">
      <c r="C37" s="61">
        <v>13</v>
      </c>
      <c r="D37" s="66">
        <v>4</v>
      </c>
      <c r="E37" s="67">
        <v>284.57</v>
      </c>
      <c r="F37" s="71">
        <v>7</v>
      </c>
      <c r="G37" s="72">
        <v>311.83</v>
      </c>
      <c r="H37" s="49">
        <v>11</v>
      </c>
      <c r="I37" s="48">
        <v>596.4</v>
      </c>
    </row>
    <row r="38" spans="3:9" ht="15.75" customHeight="1" x14ac:dyDescent="0.2">
      <c r="C38" s="61">
        <v>6</v>
      </c>
      <c r="D38" s="66">
        <v>6</v>
      </c>
      <c r="E38" s="67">
        <v>338.63000000000005</v>
      </c>
      <c r="F38" s="71">
        <v>4</v>
      </c>
      <c r="G38" s="72">
        <v>248.14</v>
      </c>
      <c r="H38" s="49">
        <v>10</v>
      </c>
      <c r="I38" s="48">
        <v>586.77</v>
      </c>
    </row>
    <row r="39" spans="3:9" ht="15.75" customHeight="1" x14ac:dyDescent="0.2">
      <c r="C39" s="61">
        <v>21</v>
      </c>
      <c r="D39" s="66"/>
      <c r="E39" s="67"/>
      <c r="F39" s="71">
        <v>10</v>
      </c>
      <c r="G39" s="72">
        <v>573.63</v>
      </c>
      <c r="H39" s="49">
        <v>10</v>
      </c>
      <c r="I39" s="48">
        <v>573.63</v>
      </c>
    </row>
    <row r="40" spans="3:9" ht="15.75" customHeight="1" x14ac:dyDescent="0.2">
      <c r="C40" s="61">
        <v>33</v>
      </c>
      <c r="D40" s="66">
        <v>4</v>
      </c>
      <c r="E40" s="67">
        <v>246.23</v>
      </c>
      <c r="F40" s="71">
        <v>4</v>
      </c>
      <c r="G40" s="72">
        <v>304.17</v>
      </c>
      <c r="H40" s="49">
        <v>8</v>
      </c>
      <c r="I40" s="48">
        <v>550.4</v>
      </c>
    </row>
    <row r="41" spans="3:9" ht="15.75" customHeight="1" x14ac:dyDescent="0.2">
      <c r="C41" s="61">
        <v>39</v>
      </c>
      <c r="D41" s="66">
        <v>4</v>
      </c>
      <c r="E41" s="67">
        <v>231.14</v>
      </c>
      <c r="F41" s="71">
        <v>5</v>
      </c>
      <c r="G41" s="72">
        <v>311.79000000000002</v>
      </c>
      <c r="H41" s="49">
        <v>9</v>
      </c>
      <c r="I41" s="48">
        <v>542.92999999999995</v>
      </c>
    </row>
    <row r="42" spans="3:9" ht="15.75" customHeight="1" x14ac:dyDescent="0.2">
      <c r="C42" s="61">
        <v>46</v>
      </c>
      <c r="D42" s="66">
        <v>2</v>
      </c>
      <c r="E42" s="67">
        <v>142.07999999999998</v>
      </c>
      <c r="F42" s="71">
        <v>5</v>
      </c>
      <c r="G42" s="72">
        <v>386.59999999999997</v>
      </c>
      <c r="H42" s="49">
        <v>7</v>
      </c>
      <c r="I42" s="48">
        <v>528.67999999999995</v>
      </c>
    </row>
    <row r="43" spans="3:9" ht="15.75" customHeight="1" x14ac:dyDescent="0.2">
      <c r="C43" s="61">
        <v>40</v>
      </c>
      <c r="D43" s="66">
        <v>2</v>
      </c>
      <c r="E43" s="67">
        <v>88.13</v>
      </c>
      <c r="F43" s="71">
        <v>6</v>
      </c>
      <c r="G43" s="72">
        <v>433.92</v>
      </c>
      <c r="H43" s="49">
        <v>8</v>
      </c>
      <c r="I43" s="48">
        <v>522.04999999999995</v>
      </c>
    </row>
    <row r="44" spans="3:9" ht="15.75" customHeight="1" x14ac:dyDescent="0.2">
      <c r="C44" s="61">
        <v>51</v>
      </c>
      <c r="D44" s="66">
        <v>2</v>
      </c>
      <c r="E44" s="67">
        <v>119.58000000000001</v>
      </c>
      <c r="F44" s="71">
        <v>6</v>
      </c>
      <c r="G44" s="72">
        <v>392.12</v>
      </c>
      <c r="H44" s="49">
        <v>8</v>
      </c>
      <c r="I44" s="48">
        <v>511.7</v>
      </c>
    </row>
    <row r="45" spans="3:9" ht="15.75" customHeight="1" x14ac:dyDescent="0.2">
      <c r="C45" s="61">
        <v>8</v>
      </c>
      <c r="D45" s="66">
        <v>2</v>
      </c>
      <c r="E45" s="67">
        <v>136.15</v>
      </c>
      <c r="F45" s="71">
        <v>7</v>
      </c>
      <c r="G45" s="72">
        <v>373.76000000000005</v>
      </c>
      <c r="H45" s="49">
        <v>9</v>
      </c>
      <c r="I45" s="48">
        <v>509.91</v>
      </c>
    </row>
    <row r="46" spans="3:9" ht="15.75" customHeight="1" x14ac:dyDescent="0.2">
      <c r="C46" s="61">
        <v>48</v>
      </c>
      <c r="D46" s="66">
        <v>2</v>
      </c>
      <c r="E46" s="67">
        <v>142.58999999999997</v>
      </c>
      <c r="F46" s="71">
        <v>7</v>
      </c>
      <c r="G46" s="72">
        <v>352.4</v>
      </c>
      <c r="H46" s="49">
        <v>9</v>
      </c>
      <c r="I46" s="48">
        <v>494.98999999999995</v>
      </c>
    </row>
    <row r="47" spans="3:9" ht="15.75" customHeight="1" x14ac:dyDescent="0.2">
      <c r="C47" s="61">
        <v>43</v>
      </c>
      <c r="D47" s="66">
        <v>5</v>
      </c>
      <c r="E47" s="67">
        <v>259.49</v>
      </c>
      <c r="F47" s="71">
        <v>5</v>
      </c>
      <c r="G47" s="72">
        <v>229.98</v>
      </c>
      <c r="H47" s="49">
        <v>10</v>
      </c>
      <c r="I47" s="48">
        <v>489.47</v>
      </c>
    </row>
    <row r="48" spans="3:9" ht="15.75" customHeight="1" x14ac:dyDescent="0.2">
      <c r="C48" s="61">
        <v>44</v>
      </c>
      <c r="D48" s="66">
        <v>2</v>
      </c>
      <c r="E48" s="67">
        <v>173.57</v>
      </c>
      <c r="F48" s="71">
        <v>4</v>
      </c>
      <c r="G48" s="72">
        <v>293.58000000000004</v>
      </c>
      <c r="H48" s="49">
        <v>6</v>
      </c>
      <c r="I48" s="48">
        <v>467.15000000000003</v>
      </c>
    </row>
    <row r="49" spans="3:9" ht="15.75" customHeight="1" x14ac:dyDescent="0.2">
      <c r="C49" s="61">
        <v>37</v>
      </c>
      <c r="D49" s="66">
        <v>2</v>
      </c>
      <c r="E49" s="67">
        <v>112.71000000000001</v>
      </c>
      <c r="F49" s="71">
        <v>6</v>
      </c>
      <c r="G49" s="72">
        <v>338.86</v>
      </c>
      <c r="H49" s="49">
        <v>8</v>
      </c>
      <c r="I49" s="48">
        <v>451.57000000000005</v>
      </c>
    </row>
    <row r="50" spans="3:9" ht="15.75" customHeight="1" x14ac:dyDescent="0.2">
      <c r="C50" s="61">
        <v>12</v>
      </c>
      <c r="D50" s="66">
        <v>3</v>
      </c>
      <c r="E50" s="67">
        <v>182.85000000000002</v>
      </c>
      <c r="F50" s="71">
        <v>5</v>
      </c>
      <c r="G50" s="72">
        <v>260.83</v>
      </c>
      <c r="H50" s="49">
        <v>8</v>
      </c>
      <c r="I50" s="48">
        <v>443.68</v>
      </c>
    </row>
    <row r="51" spans="3:9" ht="15.75" customHeight="1" x14ac:dyDescent="0.2">
      <c r="C51" s="61">
        <v>1</v>
      </c>
      <c r="D51" s="66">
        <v>4</v>
      </c>
      <c r="E51" s="67">
        <v>201.40999999999997</v>
      </c>
      <c r="F51" s="71">
        <v>5</v>
      </c>
      <c r="G51" s="72">
        <v>233.41</v>
      </c>
      <c r="H51" s="49">
        <v>9</v>
      </c>
      <c r="I51" s="48">
        <v>434.82</v>
      </c>
    </row>
    <row r="52" spans="3:9" ht="15.75" customHeight="1" x14ac:dyDescent="0.2">
      <c r="C52" s="61">
        <v>4</v>
      </c>
      <c r="D52" s="66">
        <v>2</v>
      </c>
      <c r="E52" s="67">
        <v>138.84</v>
      </c>
      <c r="F52" s="71">
        <v>4</v>
      </c>
      <c r="G52" s="72">
        <v>272.82</v>
      </c>
      <c r="H52" s="49">
        <v>6</v>
      </c>
      <c r="I52" s="48">
        <v>411.65999999999997</v>
      </c>
    </row>
    <row r="53" spans="3:9" ht="15.75" customHeight="1" x14ac:dyDescent="0.2">
      <c r="C53" s="61">
        <v>47</v>
      </c>
      <c r="D53" s="66">
        <v>5</v>
      </c>
      <c r="E53" s="67">
        <v>284.71999999999997</v>
      </c>
      <c r="F53" s="71">
        <v>2</v>
      </c>
      <c r="G53" s="72">
        <v>95</v>
      </c>
      <c r="H53" s="49">
        <v>7</v>
      </c>
      <c r="I53" s="48">
        <v>379.71999999999997</v>
      </c>
    </row>
    <row r="54" spans="3:9" ht="15.75" customHeight="1" x14ac:dyDescent="0.2">
      <c r="C54" s="61">
        <v>49</v>
      </c>
      <c r="D54" s="66">
        <v>1</v>
      </c>
      <c r="E54" s="67">
        <v>59.39</v>
      </c>
      <c r="F54" s="71">
        <v>4</v>
      </c>
      <c r="G54" s="72">
        <v>207.24</v>
      </c>
      <c r="H54" s="49">
        <v>5</v>
      </c>
      <c r="I54" s="48">
        <v>266.63</v>
      </c>
    </row>
    <row r="55" spans="3:9" ht="15.75" customHeight="1" x14ac:dyDescent="0.2">
      <c r="C55" s="61">
        <v>50</v>
      </c>
      <c r="D55" s="66"/>
      <c r="E55" s="67"/>
      <c r="F55" s="71">
        <v>5</v>
      </c>
      <c r="G55" s="72">
        <v>254.44</v>
      </c>
      <c r="H55" s="49">
        <v>5</v>
      </c>
      <c r="I55" s="48">
        <v>254.44</v>
      </c>
    </row>
    <row r="56" spans="3:9" ht="15.75" customHeight="1" x14ac:dyDescent="0.2">
      <c r="C56" s="61">
        <v>45</v>
      </c>
      <c r="D56" s="66">
        <v>2</v>
      </c>
      <c r="E56" s="67">
        <v>118.16</v>
      </c>
      <c r="F56" s="71">
        <v>2</v>
      </c>
      <c r="G56" s="72">
        <v>132.71</v>
      </c>
      <c r="H56" s="49">
        <v>4</v>
      </c>
      <c r="I56" s="48">
        <v>250.87</v>
      </c>
    </row>
    <row r="57" spans="3:9" ht="15.75" customHeight="1" x14ac:dyDescent="0.2">
      <c r="C57" s="61">
        <v>11</v>
      </c>
      <c r="D57" s="66">
        <v>3</v>
      </c>
      <c r="E57" s="67">
        <v>150.74</v>
      </c>
      <c r="F57" s="71">
        <v>2</v>
      </c>
      <c r="G57" s="72">
        <v>99.86</v>
      </c>
      <c r="H57" s="49">
        <v>5</v>
      </c>
      <c r="I57" s="48">
        <v>250.6</v>
      </c>
    </row>
    <row r="58" spans="3:9" ht="15.75" customHeight="1" x14ac:dyDescent="0.2">
      <c r="C58" s="61">
        <v>57</v>
      </c>
      <c r="D58" s="66"/>
      <c r="E58" s="67"/>
      <c r="F58" s="71">
        <v>4</v>
      </c>
      <c r="G58" s="72">
        <v>196.31</v>
      </c>
      <c r="H58" s="49">
        <v>4</v>
      </c>
      <c r="I58" s="48">
        <v>196.31</v>
      </c>
    </row>
    <row r="59" spans="3:9" ht="15.75" customHeight="1" x14ac:dyDescent="0.2">
      <c r="C59" s="61">
        <v>53</v>
      </c>
      <c r="D59" s="66">
        <v>1</v>
      </c>
      <c r="E59" s="67">
        <v>70.61</v>
      </c>
      <c r="F59" s="71">
        <v>1</v>
      </c>
      <c r="G59" s="72">
        <v>99.96</v>
      </c>
      <c r="H59" s="49">
        <v>2</v>
      </c>
      <c r="I59" s="48">
        <v>170.57</v>
      </c>
    </row>
    <row r="60" spans="3:9" ht="15.75" customHeight="1" x14ac:dyDescent="0.2">
      <c r="C60" s="61">
        <v>52</v>
      </c>
      <c r="D60" s="66">
        <v>1</v>
      </c>
      <c r="E60" s="67">
        <v>55.46</v>
      </c>
      <c r="F60" s="71">
        <v>3</v>
      </c>
      <c r="G60" s="72">
        <v>112.91999999999999</v>
      </c>
      <c r="H60" s="49">
        <v>4</v>
      </c>
      <c r="I60" s="48">
        <v>168.38</v>
      </c>
    </row>
    <row r="61" spans="3:9" ht="15.75" customHeight="1" x14ac:dyDescent="0.2">
      <c r="C61" s="61">
        <v>54</v>
      </c>
      <c r="D61" s="66">
        <v>2</v>
      </c>
      <c r="E61" s="67">
        <v>85.91</v>
      </c>
      <c r="F61" s="71">
        <v>1</v>
      </c>
      <c r="G61" s="72">
        <v>67.069999999999993</v>
      </c>
      <c r="H61" s="49">
        <v>3</v>
      </c>
      <c r="I61" s="48">
        <v>152.97999999999999</v>
      </c>
    </row>
    <row r="62" spans="3:9" ht="15.75" customHeight="1" x14ac:dyDescent="0.2">
      <c r="C62" s="61">
        <v>67</v>
      </c>
      <c r="D62" s="66">
        <v>2</v>
      </c>
      <c r="E62" s="67">
        <v>108.39</v>
      </c>
      <c r="F62" s="71"/>
      <c r="G62" s="72"/>
      <c r="H62" s="49">
        <v>2</v>
      </c>
      <c r="I62" s="48">
        <v>108.39</v>
      </c>
    </row>
    <row r="63" spans="3:9" ht="15.75" customHeight="1" x14ac:dyDescent="0.2">
      <c r="C63" s="61">
        <v>64</v>
      </c>
      <c r="D63" s="66"/>
      <c r="E63" s="67"/>
      <c r="F63" s="71">
        <v>1</v>
      </c>
      <c r="G63" s="72">
        <v>89.18</v>
      </c>
      <c r="H63" s="49">
        <v>1</v>
      </c>
      <c r="I63" s="48">
        <v>89.18</v>
      </c>
    </row>
    <row r="64" spans="3:9" ht="15.75" customHeight="1" x14ac:dyDescent="0.2">
      <c r="C64" s="61">
        <v>62</v>
      </c>
      <c r="D64" s="66">
        <v>1</v>
      </c>
      <c r="E64" s="67">
        <v>77.400000000000006</v>
      </c>
      <c r="F64" s="71"/>
      <c r="G64" s="72"/>
      <c r="H64" s="49">
        <v>1</v>
      </c>
      <c r="I64" s="48">
        <v>77.400000000000006</v>
      </c>
    </row>
    <row r="65" spans="3:9" ht="15.75" customHeight="1" x14ac:dyDescent="0.2">
      <c r="C65" s="61">
        <v>55</v>
      </c>
      <c r="D65" s="66"/>
      <c r="E65" s="67"/>
      <c r="F65" s="71">
        <v>1</v>
      </c>
      <c r="G65" s="72">
        <v>72.78</v>
      </c>
      <c r="H65" s="49">
        <v>1</v>
      </c>
      <c r="I65" s="48">
        <v>72.78</v>
      </c>
    </row>
    <row r="66" spans="3:9" ht="15.75" customHeight="1" x14ac:dyDescent="0.2">
      <c r="C66" s="61">
        <v>56</v>
      </c>
      <c r="D66" s="66"/>
      <c r="E66" s="67"/>
      <c r="F66" s="71">
        <v>1</v>
      </c>
      <c r="G66" s="72">
        <v>67.02</v>
      </c>
      <c r="H66" s="49">
        <v>1</v>
      </c>
      <c r="I66" s="48">
        <v>67.02</v>
      </c>
    </row>
    <row r="67" spans="3:9" ht="15.75" customHeight="1" x14ac:dyDescent="0.2">
      <c r="C67" s="61">
        <v>74</v>
      </c>
      <c r="D67" s="66"/>
      <c r="E67" s="67"/>
      <c r="F67" s="71">
        <v>1</v>
      </c>
      <c r="G67" s="72">
        <v>55.63</v>
      </c>
      <c r="H67" s="49">
        <v>1</v>
      </c>
      <c r="I67" s="48">
        <v>55.63</v>
      </c>
    </row>
    <row r="68" spans="3:9" ht="15.75" customHeight="1" x14ac:dyDescent="0.2">
      <c r="C68" s="61">
        <v>58</v>
      </c>
      <c r="D68" s="66">
        <v>1</v>
      </c>
      <c r="E68" s="67">
        <v>53.2</v>
      </c>
      <c r="F68" s="71"/>
      <c r="G68" s="72"/>
      <c r="H68" s="49">
        <v>1</v>
      </c>
      <c r="I68" s="48">
        <v>53.2</v>
      </c>
    </row>
    <row r="69" spans="3:9" ht="15.75" customHeight="1" x14ac:dyDescent="0.2">
      <c r="C69" s="61">
        <v>60</v>
      </c>
      <c r="D69" s="66">
        <v>1</v>
      </c>
      <c r="E69" s="67">
        <v>46.24</v>
      </c>
      <c r="F69" s="71"/>
      <c r="G69" s="72"/>
      <c r="H69" s="49">
        <v>1</v>
      </c>
      <c r="I69" s="48">
        <v>46.24</v>
      </c>
    </row>
    <row r="70" spans="3:9" ht="15.75" customHeight="1" x14ac:dyDescent="0.2">
      <c r="C70" s="61">
        <v>59</v>
      </c>
      <c r="D70" s="66">
        <v>1</v>
      </c>
      <c r="E70" s="67">
        <v>42.33</v>
      </c>
      <c r="F70" s="71"/>
      <c r="G70" s="72"/>
      <c r="H70" s="49">
        <v>1</v>
      </c>
      <c r="I70" s="48">
        <v>42.33</v>
      </c>
    </row>
    <row r="71" spans="3:9" ht="15.75" customHeight="1" x14ac:dyDescent="0.2">
      <c r="C71" s="61">
        <v>63</v>
      </c>
      <c r="D71" s="66">
        <v>1</v>
      </c>
      <c r="E71" s="67">
        <v>39.17</v>
      </c>
      <c r="F71" s="71"/>
      <c r="G71" s="72"/>
      <c r="H71" s="49">
        <v>1</v>
      </c>
      <c r="I71" s="48">
        <v>39.17</v>
      </c>
    </row>
    <row r="72" spans="3:9" ht="15.75" customHeight="1" x14ac:dyDescent="0.2">
      <c r="C72" s="61">
        <v>68</v>
      </c>
      <c r="D72" s="66"/>
      <c r="E72" s="67"/>
      <c r="F72" s="71">
        <v>1</v>
      </c>
      <c r="G72" s="72">
        <v>23.31</v>
      </c>
      <c r="H72" s="49">
        <v>1</v>
      </c>
      <c r="I72" s="48">
        <v>23.31</v>
      </c>
    </row>
    <row r="73" spans="3:9" ht="15.75" customHeight="1" x14ac:dyDescent="0.2">
      <c r="C73" t="s">
        <v>27</v>
      </c>
      <c r="D73" s="66">
        <v>247</v>
      </c>
      <c r="E73" s="67">
        <v>14763.899999999991</v>
      </c>
      <c r="F73" s="71">
        <v>413</v>
      </c>
      <c r="G73" s="72">
        <v>24898.819999999996</v>
      </c>
      <c r="H73" s="49">
        <v>660</v>
      </c>
      <c r="I73" s="48">
        <v>39662.719999999987</v>
      </c>
    </row>
    <row r="74" spans="3:9" ht="15.75" customHeight="1" x14ac:dyDescent="0.2">
      <c r="H74" s="22"/>
      <c r="I74" s="22"/>
    </row>
    <row r="75" spans="3:9" ht="15.75" customHeight="1" x14ac:dyDescent="0.2">
      <c r="C75" s="21"/>
      <c r="D75" s="22"/>
      <c r="E75" s="22"/>
      <c r="F75" s="22"/>
      <c r="G75" s="22"/>
      <c r="H75" s="22"/>
      <c r="I75" s="22"/>
    </row>
    <row r="76" spans="3:9" ht="15.75" customHeight="1" x14ac:dyDescent="0.2">
      <c r="C76" s="21"/>
      <c r="D76" s="22"/>
      <c r="E76" s="22"/>
      <c r="F76" s="22"/>
      <c r="G76" s="22"/>
      <c r="H76" s="22"/>
      <c r="I76" s="22"/>
    </row>
    <row r="77" spans="3:9" ht="15.75" customHeight="1" x14ac:dyDescent="0.2">
      <c r="C77" s="21"/>
      <c r="D77" s="22"/>
      <c r="E77" s="22"/>
      <c r="F77" s="22"/>
      <c r="G77" s="22"/>
      <c r="H77" s="22"/>
      <c r="I77" s="22"/>
    </row>
    <row r="78" spans="3:9" ht="15.75" customHeight="1" x14ac:dyDescent="0.2">
      <c r="C78" s="21"/>
      <c r="D78" s="22"/>
      <c r="E78" s="22"/>
      <c r="F78" s="22"/>
      <c r="G78" s="22"/>
      <c r="H78" s="22"/>
      <c r="I78" s="22"/>
    </row>
    <row r="79" spans="3:9" ht="15.75" customHeight="1" x14ac:dyDescent="0.2">
      <c r="C79" s="21"/>
      <c r="D79" s="22"/>
      <c r="E79" s="22"/>
      <c r="F79" s="22"/>
      <c r="G79" s="22"/>
      <c r="H79" s="22"/>
      <c r="I79" s="22"/>
    </row>
    <row r="80" spans="3:9" ht="15.75" customHeight="1" x14ac:dyDescent="0.2">
      <c r="C80" s="21"/>
      <c r="D80" s="22"/>
      <c r="E80" s="22"/>
      <c r="F80" s="22"/>
      <c r="G80" s="22"/>
      <c r="H80" s="22"/>
      <c r="I80" s="22"/>
    </row>
    <row r="81" spans="3:9" ht="15.75" customHeight="1" x14ac:dyDescent="0.2">
      <c r="C81" s="21"/>
      <c r="D81" s="22"/>
      <c r="E81" s="22"/>
      <c r="F81" s="22"/>
      <c r="G81" s="22"/>
      <c r="H81" s="22"/>
      <c r="I81" s="22"/>
    </row>
    <row r="82" spans="3:9" ht="15.75" customHeight="1" x14ac:dyDescent="0.2">
      <c r="C82" s="21"/>
      <c r="D82" s="22"/>
      <c r="E82" s="22"/>
      <c r="F82" s="22"/>
      <c r="G82" s="22"/>
      <c r="H82" s="22"/>
      <c r="I82" s="22"/>
    </row>
    <row r="83" spans="3:9" ht="15.75" customHeight="1" x14ac:dyDescent="0.2">
      <c r="C83" s="21"/>
      <c r="D83" s="22"/>
      <c r="E83" s="22"/>
      <c r="F83" s="22"/>
      <c r="G83" s="22"/>
      <c r="H83" s="22"/>
      <c r="I83" s="22"/>
    </row>
    <row r="84" spans="3:9" ht="15.75" customHeight="1" x14ac:dyDescent="0.2">
      <c r="C84" s="21"/>
      <c r="D84" s="22"/>
      <c r="E84" s="22"/>
      <c r="F84" s="22"/>
      <c r="G84" s="22"/>
      <c r="H84" s="22"/>
      <c r="I84" s="22"/>
    </row>
    <row r="85" spans="3:9" ht="15.75" customHeight="1" x14ac:dyDescent="0.2">
      <c r="C85" s="21"/>
      <c r="D85" s="22"/>
      <c r="E85" s="22"/>
      <c r="F85" s="22"/>
      <c r="G85" s="22"/>
      <c r="H85" s="22"/>
      <c r="I85" s="22"/>
    </row>
    <row r="86" spans="3:9" ht="15.75" customHeight="1" x14ac:dyDescent="0.2">
      <c r="C86" s="21"/>
      <c r="D86" s="22"/>
      <c r="E86" s="22"/>
      <c r="F86" s="22"/>
      <c r="G86" s="22"/>
      <c r="H86" s="22"/>
      <c r="I86" s="22"/>
    </row>
    <row r="87" spans="3:9" ht="15.75" customHeight="1" x14ac:dyDescent="0.2">
      <c r="C87" s="21"/>
      <c r="D87" s="22"/>
      <c r="E87" s="22"/>
      <c r="F87" s="22"/>
      <c r="G87" s="22"/>
      <c r="H87" s="22"/>
      <c r="I87" s="22"/>
    </row>
    <row r="88" spans="3:9" ht="15.75" customHeight="1" x14ac:dyDescent="0.2">
      <c r="C88" s="21"/>
      <c r="D88" s="22"/>
      <c r="E88" s="22"/>
      <c r="F88" s="22"/>
      <c r="G88" s="22"/>
      <c r="H88" s="22"/>
      <c r="I88" s="22"/>
    </row>
    <row r="89" spans="3:9" ht="15.75" customHeight="1" x14ac:dyDescent="0.2">
      <c r="C89" s="21"/>
      <c r="D89" s="22"/>
      <c r="E89" s="22"/>
      <c r="F89" s="22"/>
      <c r="G89" s="22"/>
      <c r="H89" s="22"/>
      <c r="I89" s="22"/>
    </row>
    <row r="90" spans="3:9" ht="15.75" customHeight="1" x14ac:dyDescent="0.2">
      <c r="C90" s="21"/>
      <c r="D90" s="22"/>
      <c r="E90" s="22"/>
      <c r="F90" s="22"/>
      <c r="G90" s="22"/>
      <c r="H90" s="22"/>
      <c r="I90" s="22"/>
    </row>
    <row r="91" spans="3:9" ht="15.75" customHeight="1" x14ac:dyDescent="0.2">
      <c r="C91" s="21"/>
      <c r="D91" s="22"/>
      <c r="E91" s="22"/>
      <c r="F91" s="22"/>
      <c r="G91" s="22"/>
      <c r="H91" s="22"/>
      <c r="I91" s="22"/>
    </row>
    <row r="92" spans="3:9" ht="15.75" customHeight="1" x14ac:dyDescent="0.2">
      <c r="C92" s="21"/>
      <c r="D92" s="22"/>
      <c r="E92" s="22"/>
      <c r="F92" s="22"/>
      <c r="G92" s="22"/>
      <c r="H92" s="22"/>
      <c r="I92" s="22"/>
    </row>
    <row r="93" spans="3:9" ht="15.75" customHeight="1" x14ac:dyDescent="0.2">
      <c r="C93" s="21"/>
      <c r="D93" s="22"/>
      <c r="E93" s="22"/>
      <c r="F93" s="22"/>
      <c r="G93" s="22"/>
      <c r="H93" s="22"/>
      <c r="I93" s="22"/>
    </row>
    <row r="94" spans="3:9" ht="15.75" customHeight="1" x14ac:dyDescent="0.2">
      <c r="C94" s="21"/>
      <c r="D94" s="22"/>
      <c r="E94" s="22"/>
      <c r="F94" s="22"/>
      <c r="G94" s="22"/>
      <c r="H94" s="22"/>
      <c r="I94" s="22"/>
    </row>
    <row r="95" spans="3:9" ht="15.75" customHeight="1" x14ac:dyDescent="0.2">
      <c r="C95" s="21"/>
      <c r="D95" s="22"/>
      <c r="E95" s="22"/>
      <c r="F95" s="22"/>
      <c r="G95" s="22"/>
      <c r="H95" s="22"/>
      <c r="I95" s="22"/>
    </row>
    <row r="96" spans="3:9" ht="15.75" customHeight="1" x14ac:dyDescent="0.2">
      <c r="C96" s="21"/>
      <c r="D96" s="22"/>
      <c r="E96" s="22"/>
      <c r="F96" s="22"/>
      <c r="G96" s="22"/>
      <c r="H96" s="22"/>
      <c r="I96" s="22"/>
    </row>
    <row r="97" spans="3:9" ht="15.75" customHeight="1" x14ac:dyDescent="0.2">
      <c r="C97" s="21"/>
      <c r="D97" s="22"/>
      <c r="E97" s="22"/>
      <c r="F97" s="22"/>
      <c r="G97" s="22"/>
      <c r="H97" s="22"/>
      <c r="I97" s="22"/>
    </row>
    <row r="98" spans="3:9" ht="15.75" customHeight="1" x14ac:dyDescent="0.2">
      <c r="C98" s="21"/>
      <c r="D98" s="22"/>
      <c r="E98" s="22"/>
      <c r="F98" s="22"/>
      <c r="G98" s="22"/>
      <c r="H98" s="22"/>
      <c r="I98" s="22"/>
    </row>
    <row r="99" spans="3:9" ht="15.75" customHeight="1" x14ac:dyDescent="0.2">
      <c r="C99" s="21"/>
      <c r="D99" s="22"/>
      <c r="E99" s="22"/>
      <c r="F99" s="22"/>
      <c r="G99" s="22"/>
      <c r="H99" s="22"/>
      <c r="I99" s="22"/>
    </row>
    <row r="100" spans="3:9" ht="15.75" customHeight="1" x14ac:dyDescent="0.2">
      <c r="C100" s="21"/>
      <c r="D100" s="22"/>
      <c r="E100" s="22"/>
      <c r="F100" s="22"/>
      <c r="G100" s="22"/>
      <c r="H100" s="22"/>
      <c r="I100" s="22"/>
    </row>
    <row r="101" spans="3:9" ht="15.75" customHeight="1" x14ac:dyDescent="0.2">
      <c r="C101" s="21"/>
      <c r="D101" s="22"/>
      <c r="E101" s="22"/>
      <c r="F101" s="22"/>
      <c r="G101" s="22"/>
      <c r="H101" s="22"/>
      <c r="I101" s="22"/>
    </row>
    <row r="102" spans="3:9" ht="15.75" customHeight="1" x14ac:dyDescent="0.2">
      <c r="C102" s="21"/>
      <c r="D102" s="22"/>
      <c r="E102" s="22"/>
      <c r="F102" s="22"/>
      <c r="G102" s="22"/>
      <c r="H102" s="22"/>
      <c r="I102" s="22"/>
    </row>
    <row r="103" spans="3:9" ht="15.75" customHeight="1" x14ac:dyDescent="0.2">
      <c r="C103" s="21"/>
      <c r="D103" s="22"/>
      <c r="E103" s="22"/>
      <c r="F103" s="22"/>
      <c r="G103" s="22"/>
      <c r="H103" s="22"/>
      <c r="I103" s="22"/>
    </row>
    <row r="104" spans="3:9" ht="15.75" customHeight="1" x14ac:dyDescent="0.2">
      <c r="C104" s="21"/>
      <c r="D104" s="22"/>
      <c r="E104" s="22"/>
      <c r="F104" s="22"/>
      <c r="G104" s="22"/>
      <c r="H104" s="22"/>
      <c r="I104" s="22"/>
    </row>
    <row r="105" spans="3:9" ht="15.75" customHeight="1" x14ac:dyDescent="0.2">
      <c r="C105" s="21"/>
      <c r="D105" s="22"/>
      <c r="E105" s="22"/>
      <c r="F105" s="22"/>
      <c r="G105" s="22"/>
      <c r="H105" s="22"/>
      <c r="I105" s="22"/>
    </row>
    <row r="106" spans="3:9" ht="15.75" customHeight="1" x14ac:dyDescent="0.2">
      <c r="C106" s="21"/>
      <c r="D106" s="22"/>
      <c r="E106" s="22"/>
      <c r="F106" s="22"/>
      <c r="G106" s="22"/>
      <c r="H106" s="22"/>
      <c r="I106" s="22"/>
    </row>
    <row r="107" spans="3:9" ht="15.75" customHeight="1" x14ac:dyDescent="0.2">
      <c r="C107" s="21"/>
      <c r="D107" s="22"/>
      <c r="E107" s="22"/>
      <c r="F107" s="22"/>
      <c r="G107" s="22"/>
      <c r="H107" s="22"/>
      <c r="I107" s="22"/>
    </row>
    <row r="108" spans="3:9" ht="15.75" customHeight="1" x14ac:dyDescent="0.2">
      <c r="C108" s="21"/>
      <c r="D108" s="22"/>
      <c r="E108" s="22"/>
      <c r="F108" s="22"/>
      <c r="G108" s="22"/>
      <c r="H108" s="22"/>
      <c r="I108" s="22"/>
    </row>
    <row r="109" spans="3:9" ht="15.75" customHeight="1" x14ac:dyDescent="0.2">
      <c r="C109" s="21"/>
      <c r="D109" s="22"/>
      <c r="E109" s="22"/>
      <c r="F109" s="22"/>
      <c r="G109" s="22"/>
      <c r="H109" s="22"/>
      <c r="I109" s="22"/>
    </row>
    <row r="110" spans="3:9" ht="15.75" customHeight="1" x14ac:dyDescent="0.2">
      <c r="C110" s="21"/>
      <c r="D110" s="22"/>
      <c r="E110" s="22"/>
      <c r="F110" s="22"/>
      <c r="G110" s="22"/>
      <c r="H110" s="22"/>
      <c r="I110" s="22"/>
    </row>
    <row r="111" spans="3:9" ht="15.75" customHeight="1" x14ac:dyDescent="0.2">
      <c r="C111" s="21"/>
      <c r="D111" s="22"/>
      <c r="E111" s="22"/>
      <c r="F111" s="22"/>
      <c r="G111" s="22"/>
      <c r="H111" s="22"/>
      <c r="I111" s="22"/>
    </row>
    <row r="112" spans="3:9" ht="15.75" customHeight="1" x14ac:dyDescent="0.2">
      <c r="C112" s="21"/>
      <c r="D112" s="22"/>
      <c r="E112" s="22"/>
      <c r="F112" s="22"/>
      <c r="G112" s="22"/>
      <c r="H112" s="22"/>
      <c r="I112" s="22"/>
    </row>
    <row r="113" spans="3:9" ht="15.75" customHeight="1" x14ac:dyDescent="0.2">
      <c r="C113" s="21"/>
      <c r="D113" s="22"/>
      <c r="E113" s="22"/>
      <c r="F113" s="22"/>
      <c r="G113" s="22"/>
      <c r="H113" s="22"/>
      <c r="I113" s="22"/>
    </row>
    <row r="114" spans="3:9" ht="15.75" customHeight="1" x14ac:dyDescent="0.2">
      <c r="C114" s="21"/>
      <c r="D114" s="22"/>
      <c r="E114" s="22"/>
      <c r="F114" s="22"/>
      <c r="G114" s="22"/>
      <c r="H114" s="22"/>
      <c r="I114" s="22"/>
    </row>
    <row r="115" spans="3:9" ht="15.75" customHeight="1" x14ac:dyDescent="0.2">
      <c r="C115" s="21"/>
      <c r="D115" s="22"/>
      <c r="E115" s="22"/>
      <c r="F115" s="22"/>
      <c r="G115" s="22"/>
      <c r="H115" s="22"/>
      <c r="I115" s="22"/>
    </row>
    <row r="116" spans="3:9" ht="15.75" customHeight="1" x14ac:dyDescent="0.2">
      <c r="C116" s="21"/>
      <c r="D116" s="22"/>
      <c r="E116" s="22"/>
      <c r="F116" s="22"/>
      <c r="G116" s="22"/>
      <c r="H116" s="22"/>
      <c r="I116" s="22"/>
    </row>
    <row r="117" spans="3:9" ht="15.75" customHeight="1" x14ac:dyDescent="0.2">
      <c r="C117" s="21"/>
      <c r="D117" s="22"/>
      <c r="E117" s="22"/>
      <c r="F117" s="22"/>
      <c r="G117" s="22"/>
      <c r="H117" s="22"/>
      <c r="I117" s="22"/>
    </row>
    <row r="118" spans="3:9" ht="15.75" customHeight="1" x14ac:dyDescent="0.2">
      <c r="C118" s="21"/>
      <c r="D118" s="22"/>
      <c r="E118" s="22"/>
      <c r="F118" s="22"/>
      <c r="G118" s="22"/>
      <c r="H118" s="22"/>
      <c r="I118" s="22"/>
    </row>
    <row r="119" spans="3:9" ht="15.75" customHeight="1" x14ac:dyDescent="0.2">
      <c r="C119" s="21"/>
      <c r="D119" s="22"/>
      <c r="E119" s="22"/>
      <c r="F119" s="22"/>
      <c r="G119" s="22"/>
      <c r="H119" s="22"/>
      <c r="I119" s="22"/>
    </row>
    <row r="120" spans="3:9" ht="15.75" customHeight="1" x14ac:dyDescent="0.2">
      <c r="C120" s="21"/>
      <c r="D120" s="22"/>
      <c r="E120" s="22"/>
      <c r="F120" s="22"/>
      <c r="G120" s="22"/>
      <c r="H120" s="22"/>
      <c r="I120" s="22"/>
    </row>
    <row r="121" spans="3:9" ht="15.75" customHeight="1" x14ac:dyDescent="0.2">
      <c r="C121" s="21"/>
      <c r="D121" s="22"/>
      <c r="E121" s="22"/>
      <c r="F121" s="22"/>
      <c r="G121" s="22"/>
      <c r="H121" s="22"/>
      <c r="I121" s="22"/>
    </row>
    <row r="122" spans="3:9" ht="15.75" customHeight="1" x14ac:dyDescent="0.2">
      <c r="C122" s="21"/>
      <c r="D122" s="22"/>
      <c r="E122" s="22"/>
      <c r="F122" s="22"/>
      <c r="G122" s="22"/>
      <c r="H122" s="22"/>
      <c r="I122" s="22"/>
    </row>
    <row r="123" spans="3:9" ht="15.75" customHeight="1" x14ac:dyDescent="0.2">
      <c r="C123" s="21"/>
      <c r="D123" s="22"/>
      <c r="E123" s="22"/>
      <c r="F123" s="22"/>
      <c r="G123" s="22"/>
      <c r="H123" s="22"/>
      <c r="I123" s="22"/>
    </row>
    <row r="124" spans="3:9" ht="15.75" customHeight="1" x14ac:dyDescent="0.2">
      <c r="C124" s="21"/>
      <c r="D124" s="22"/>
      <c r="E124" s="22"/>
      <c r="F124" s="22"/>
      <c r="G124" s="22"/>
      <c r="H124" s="22"/>
      <c r="I124" s="22"/>
    </row>
    <row r="125" spans="3:9" ht="15.75" customHeight="1" x14ac:dyDescent="0.2">
      <c r="C125" s="21"/>
      <c r="D125" s="22"/>
      <c r="E125" s="22"/>
      <c r="F125" s="22"/>
      <c r="G125" s="22"/>
      <c r="H125" s="22"/>
      <c r="I125" s="22"/>
    </row>
    <row r="126" spans="3:9" ht="15.75" customHeight="1" x14ac:dyDescent="0.2">
      <c r="C126" s="21"/>
      <c r="D126" s="22"/>
      <c r="E126" s="22"/>
      <c r="F126" s="22"/>
      <c r="G126" s="22"/>
      <c r="H126" s="22"/>
      <c r="I126" s="22"/>
    </row>
    <row r="127" spans="3:9" ht="15.75" customHeight="1" x14ac:dyDescent="0.2">
      <c r="C127" s="21"/>
      <c r="D127" s="22"/>
      <c r="E127" s="22"/>
      <c r="F127" s="22"/>
      <c r="G127" s="22"/>
      <c r="H127" s="22"/>
      <c r="I127" s="22"/>
    </row>
    <row r="128" spans="3:9" ht="15.75" customHeight="1" x14ac:dyDescent="0.2">
      <c r="C128" s="21"/>
      <c r="D128" s="22"/>
      <c r="E128" s="22"/>
      <c r="F128" s="22"/>
      <c r="G128" s="22"/>
      <c r="H128" s="22"/>
      <c r="I128" s="22"/>
    </row>
    <row r="129" spans="3:9" ht="15.75" customHeight="1" x14ac:dyDescent="0.2">
      <c r="C129" s="21"/>
      <c r="D129" s="22"/>
      <c r="E129" s="22"/>
      <c r="F129" s="22"/>
      <c r="G129" s="22"/>
      <c r="H129" s="22"/>
      <c r="I129" s="22"/>
    </row>
    <row r="130" spans="3:9" ht="15.75" customHeight="1" x14ac:dyDescent="0.2">
      <c r="C130" s="21"/>
      <c r="D130" s="22"/>
      <c r="E130" s="22"/>
      <c r="F130" s="22"/>
      <c r="G130" s="22"/>
      <c r="H130" s="22"/>
      <c r="I130" s="22"/>
    </row>
    <row r="131" spans="3:9" ht="15.75" customHeight="1" x14ac:dyDescent="0.2">
      <c r="C131" s="21"/>
      <c r="D131" s="22"/>
      <c r="E131" s="22"/>
      <c r="F131" s="22"/>
      <c r="G131" s="22"/>
      <c r="H131" s="22"/>
      <c r="I131" s="22"/>
    </row>
    <row r="132" spans="3:9" ht="15.75" customHeight="1" x14ac:dyDescent="0.2">
      <c r="C132" s="21"/>
      <c r="D132" s="22"/>
      <c r="E132" s="22"/>
      <c r="F132" s="22"/>
      <c r="G132" s="22"/>
      <c r="H132" s="22"/>
      <c r="I132" s="22"/>
    </row>
    <row r="133" spans="3:9" ht="15.75" customHeight="1" x14ac:dyDescent="0.2">
      <c r="C133" s="21"/>
      <c r="D133" s="22"/>
      <c r="E133" s="22"/>
      <c r="F133" s="22"/>
      <c r="G133" s="22"/>
      <c r="H133" s="22"/>
      <c r="I133" s="22"/>
    </row>
    <row r="134" spans="3:9" ht="15.75" customHeight="1" x14ac:dyDescent="0.2">
      <c r="C134" s="21"/>
      <c r="D134" s="22"/>
      <c r="E134" s="22"/>
      <c r="F134" s="22"/>
      <c r="G134" s="22"/>
      <c r="H134" s="22"/>
      <c r="I134" s="22"/>
    </row>
    <row r="135" spans="3:9" ht="15.75" customHeight="1" x14ac:dyDescent="0.2">
      <c r="C135" s="21"/>
      <c r="D135" s="22"/>
      <c r="E135" s="22"/>
      <c r="F135" s="22"/>
      <c r="G135" s="22"/>
      <c r="H135" s="22"/>
      <c r="I135" s="22"/>
    </row>
    <row r="136" spans="3:9" ht="15.75" customHeight="1" x14ac:dyDescent="0.2">
      <c r="C136" s="21"/>
      <c r="D136" s="22"/>
      <c r="E136" s="22"/>
      <c r="F136" s="22"/>
      <c r="G136" s="22"/>
      <c r="H136" s="22"/>
      <c r="I136" s="22"/>
    </row>
    <row r="137" spans="3:9" ht="15.75" customHeight="1" x14ac:dyDescent="0.2">
      <c r="C137" s="21"/>
      <c r="D137" s="22"/>
      <c r="E137" s="22"/>
      <c r="F137" s="22"/>
      <c r="G137" s="22"/>
      <c r="H137" s="22"/>
      <c r="I137" s="22"/>
    </row>
    <row r="138" spans="3:9" ht="15.75" customHeight="1" x14ac:dyDescent="0.2">
      <c r="C138" s="21"/>
      <c r="D138" s="22"/>
      <c r="E138" s="22"/>
      <c r="F138" s="22"/>
      <c r="G138" s="22"/>
      <c r="H138" s="22"/>
      <c r="I138" s="22"/>
    </row>
    <row r="139" spans="3:9" ht="15.75" customHeight="1" x14ac:dyDescent="0.2">
      <c r="C139" s="21"/>
      <c r="D139" s="22"/>
      <c r="E139" s="22"/>
      <c r="F139" s="22"/>
      <c r="G139" s="22"/>
      <c r="H139" s="22"/>
      <c r="I139" s="22"/>
    </row>
    <row r="140" spans="3:9" ht="15.75" customHeight="1" x14ac:dyDescent="0.2">
      <c r="C140" s="21"/>
      <c r="D140" s="22"/>
      <c r="E140" s="22"/>
      <c r="F140" s="22"/>
      <c r="G140" s="22"/>
      <c r="H140" s="22"/>
      <c r="I140" s="22"/>
    </row>
    <row r="141" spans="3:9" ht="15.75" customHeight="1" x14ac:dyDescent="0.2">
      <c r="C141" s="21"/>
      <c r="D141" s="22"/>
      <c r="E141" s="22"/>
      <c r="F141" s="22"/>
      <c r="G141" s="22"/>
      <c r="H141" s="22"/>
      <c r="I141" s="22"/>
    </row>
    <row r="142" spans="3:9" ht="15.75" customHeight="1" x14ac:dyDescent="0.2">
      <c r="C142" s="21"/>
      <c r="D142" s="22"/>
      <c r="E142" s="22"/>
      <c r="F142" s="22"/>
      <c r="G142" s="22"/>
      <c r="H142" s="22"/>
      <c r="I142" s="22"/>
    </row>
    <row r="143" spans="3:9" ht="15.75" customHeight="1" x14ac:dyDescent="0.2">
      <c r="C143" s="21"/>
      <c r="D143" s="22"/>
      <c r="E143" s="22"/>
      <c r="F143" s="22"/>
      <c r="G143" s="22"/>
      <c r="H143" s="22"/>
      <c r="I143" s="22"/>
    </row>
    <row r="144" spans="3:9" ht="15.75" customHeight="1" x14ac:dyDescent="0.2">
      <c r="C144" s="21"/>
      <c r="D144" s="22"/>
      <c r="E144" s="22"/>
      <c r="F144" s="22"/>
      <c r="G144" s="22"/>
      <c r="H144" s="22"/>
      <c r="I144" s="22"/>
    </row>
    <row r="145" spans="3:9" ht="15.75" customHeight="1" x14ac:dyDescent="0.2">
      <c r="C145" s="21"/>
      <c r="D145" s="22"/>
      <c r="E145" s="22"/>
      <c r="F145" s="22"/>
      <c r="G145" s="22"/>
      <c r="H145" s="22"/>
      <c r="I145" s="22"/>
    </row>
    <row r="146" spans="3:9" ht="15.75" customHeight="1" x14ac:dyDescent="0.2">
      <c r="C146" s="21"/>
      <c r="D146" s="22"/>
      <c r="E146" s="22"/>
      <c r="F146" s="22"/>
      <c r="G146" s="22"/>
      <c r="H146" s="22"/>
      <c r="I146" s="22"/>
    </row>
    <row r="147" spans="3:9" ht="15.75" customHeight="1" x14ac:dyDescent="0.2">
      <c r="C147" s="21"/>
      <c r="D147" s="22"/>
      <c r="E147" s="22"/>
      <c r="F147" s="22"/>
      <c r="G147" s="22"/>
      <c r="H147" s="22"/>
      <c r="I147" s="22"/>
    </row>
    <row r="148" spans="3:9" ht="15.75" customHeight="1" x14ac:dyDescent="0.2">
      <c r="C148" s="21"/>
      <c r="D148" s="22"/>
      <c r="E148" s="22"/>
      <c r="F148" s="22"/>
      <c r="G148" s="22"/>
      <c r="H148" s="22"/>
      <c r="I148" s="22"/>
    </row>
    <row r="149" spans="3:9" ht="15.75" customHeight="1" x14ac:dyDescent="0.2">
      <c r="C149" s="21"/>
      <c r="D149" s="22"/>
      <c r="E149" s="22"/>
      <c r="F149" s="22"/>
      <c r="G149" s="22"/>
      <c r="H149" s="22"/>
      <c r="I149" s="22"/>
    </row>
    <row r="150" spans="3:9" ht="15.75" customHeight="1" x14ac:dyDescent="0.2">
      <c r="C150" s="21"/>
      <c r="D150" s="22"/>
      <c r="E150" s="22"/>
      <c r="F150" s="22"/>
      <c r="G150" s="22"/>
      <c r="H150" s="22"/>
      <c r="I150" s="22"/>
    </row>
    <row r="151" spans="3:9" ht="15.75" customHeight="1" x14ac:dyDescent="0.2">
      <c r="C151" s="21"/>
      <c r="D151" s="22"/>
      <c r="E151" s="22"/>
      <c r="F151" s="22"/>
      <c r="G151" s="22"/>
      <c r="H151" s="22"/>
      <c r="I151" s="22"/>
    </row>
    <row r="152" spans="3:9" ht="15.75" customHeight="1" x14ac:dyDescent="0.2">
      <c r="C152" s="21"/>
      <c r="D152" s="22"/>
      <c r="E152" s="22"/>
      <c r="F152" s="22"/>
      <c r="G152" s="22"/>
      <c r="H152" s="22"/>
      <c r="I152" s="22"/>
    </row>
    <row r="153" spans="3:9" ht="15.75" customHeight="1" x14ac:dyDescent="0.2">
      <c r="C153" s="21"/>
      <c r="D153" s="22"/>
      <c r="E153" s="22"/>
      <c r="F153" s="22"/>
      <c r="G153" s="22"/>
      <c r="H153" s="22"/>
      <c r="I153" s="22"/>
    </row>
    <row r="154" spans="3:9" ht="15.75" customHeight="1" x14ac:dyDescent="0.2">
      <c r="C154" s="21"/>
      <c r="D154" s="22"/>
      <c r="E154" s="22"/>
      <c r="F154" s="22"/>
      <c r="G154" s="22"/>
      <c r="H154" s="22"/>
      <c r="I154" s="22"/>
    </row>
    <row r="155" spans="3:9" ht="15.75" customHeight="1" x14ac:dyDescent="0.2">
      <c r="C155" s="21"/>
      <c r="D155" s="22"/>
      <c r="E155" s="22"/>
      <c r="F155" s="22"/>
      <c r="G155" s="22"/>
      <c r="H155" s="22"/>
      <c r="I155" s="22"/>
    </row>
    <row r="156" spans="3:9" ht="15.75" customHeight="1" x14ac:dyDescent="0.2">
      <c r="C156" s="21"/>
      <c r="D156" s="22"/>
      <c r="E156" s="22"/>
      <c r="F156" s="22"/>
      <c r="G156" s="22"/>
      <c r="H156" s="22"/>
      <c r="I156" s="22"/>
    </row>
    <row r="157" spans="3:9" ht="15.75" customHeight="1" x14ac:dyDescent="0.2">
      <c r="C157" s="21"/>
      <c r="D157" s="22"/>
      <c r="E157" s="22"/>
      <c r="F157" s="22"/>
      <c r="G157" s="22"/>
      <c r="H157" s="22"/>
      <c r="I157" s="22"/>
    </row>
    <row r="158" spans="3:9" ht="15.75" customHeight="1" x14ac:dyDescent="0.2">
      <c r="C158" s="21"/>
      <c r="D158" s="22"/>
      <c r="E158" s="22"/>
      <c r="F158" s="22"/>
      <c r="G158" s="22"/>
      <c r="H158" s="22"/>
      <c r="I158" s="22"/>
    </row>
    <row r="159" spans="3:9" ht="15.75" customHeight="1" x14ac:dyDescent="0.2">
      <c r="C159" s="21"/>
      <c r="D159" s="22"/>
      <c r="E159" s="22"/>
      <c r="F159" s="22"/>
      <c r="G159" s="22"/>
      <c r="H159" s="22"/>
      <c r="I159" s="22"/>
    </row>
    <row r="160" spans="3:9" ht="15.75" customHeight="1" x14ac:dyDescent="0.2">
      <c r="C160" s="21"/>
      <c r="D160" s="22"/>
      <c r="E160" s="22"/>
      <c r="F160" s="22"/>
      <c r="G160" s="22"/>
      <c r="H160" s="22"/>
      <c r="I160" s="22"/>
    </row>
    <row r="161" spans="3:9" ht="15.75" customHeight="1" x14ac:dyDescent="0.2">
      <c r="C161" s="21"/>
      <c r="D161" s="22"/>
      <c r="E161" s="22"/>
      <c r="F161" s="22"/>
      <c r="G161" s="22"/>
      <c r="H161" s="22"/>
      <c r="I161" s="22"/>
    </row>
    <row r="162" spans="3:9" ht="15.75" customHeight="1" x14ac:dyDescent="0.2">
      <c r="C162" s="21"/>
      <c r="D162" s="22"/>
      <c r="E162" s="22"/>
      <c r="F162" s="22"/>
      <c r="G162" s="22"/>
      <c r="H162" s="22"/>
      <c r="I162" s="22"/>
    </row>
    <row r="163" spans="3:9" ht="15.75" customHeight="1" x14ac:dyDescent="0.2">
      <c r="C163" s="21"/>
      <c r="D163" s="22"/>
      <c r="E163" s="22"/>
      <c r="F163" s="22"/>
      <c r="G163" s="22"/>
      <c r="H163" s="22"/>
      <c r="I163" s="22"/>
    </row>
    <row r="164" spans="3:9" ht="15.75" customHeight="1" x14ac:dyDescent="0.2">
      <c r="C164" s="21"/>
      <c r="D164" s="22"/>
      <c r="E164" s="22"/>
      <c r="F164" s="22"/>
      <c r="G164" s="22"/>
      <c r="H164" s="22"/>
      <c r="I164" s="22"/>
    </row>
    <row r="165" spans="3:9" ht="15.75" customHeight="1" x14ac:dyDescent="0.2">
      <c r="C165" s="21"/>
      <c r="D165" s="22"/>
      <c r="E165" s="22"/>
      <c r="F165" s="22"/>
      <c r="G165" s="22"/>
      <c r="H165" s="22"/>
      <c r="I165" s="22"/>
    </row>
    <row r="166" spans="3:9" ht="15.75" customHeight="1" x14ac:dyDescent="0.2">
      <c r="C166" s="21"/>
      <c r="D166" s="22"/>
      <c r="E166" s="22"/>
      <c r="F166" s="22"/>
      <c r="G166" s="22"/>
      <c r="H166" s="22"/>
      <c r="I166" s="22"/>
    </row>
    <row r="167" spans="3:9" ht="15.75" customHeight="1" x14ac:dyDescent="0.2">
      <c r="C167" s="21"/>
      <c r="D167" s="22"/>
      <c r="E167" s="22"/>
      <c r="F167" s="22"/>
      <c r="G167" s="22"/>
      <c r="H167" s="22"/>
      <c r="I167" s="22"/>
    </row>
    <row r="168" spans="3:9" ht="15.75" customHeight="1" x14ac:dyDescent="0.2">
      <c r="C168" s="21"/>
      <c r="D168" s="22"/>
      <c r="E168" s="22"/>
      <c r="F168" s="22"/>
      <c r="G168" s="22"/>
      <c r="H168" s="22"/>
      <c r="I168" s="22"/>
    </row>
    <row r="169" spans="3:9" ht="15.75" customHeight="1" x14ac:dyDescent="0.2">
      <c r="C169" s="21"/>
      <c r="D169" s="22"/>
      <c r="E169" s="22"/>
      <c r="F169" s="22"/>
      <c r="G169" s="22"/>
      <c r="H169" s="22"/>
      <c r="I169" s="22"/>
    </row>
    <row r="170" spans="3:9" ht="15.75" customHeight="1" x14ac:dyDescent="0.2">
      <c r="C170" s="21"/>
      <c r="D170" s="22"/>
      <c r="E170" s="22"/>
      <c r="F170" s="22"/>
      <c r="G170" s="22"/>
      <c r="H170" s="22"/>
      <c r="I170" s="22"/>
    </row>
    <row r="171" spans="3:9" ht="15.75" customHeight="1" x14ac:dyDescent="0.2">
      <c r="C171" s="21"/>
      <c r="D171" s="22"/>
      <c r="E171" s="22"/>
      <c r="F171" s="22"/>
      <c r="G171" s="22"/>
      <c r="H171" s="22"/>
      <c r="I171" s="22"/>
    </row>
    <row r="172" spans="3:9" ht="15.75" customHeight="1" x14ac:dyDescent="0.2">
      <c r="C172" s="21"/>
      <c r="D172" s="22"/>
      <c r="E172" s="22"/>
      <c r="F172" s="22"/>
      <c r="G172" s="22"/>
      <c r="H172" s="22"/>
      <c r="I172" s="22"/>
    </row>
    <row r="173" spans="3:9" ht="15.75" customHeight="1" x14ac:dyDescent="0.2">
      <c r="C173" s="21"/>
      <c r="D173" s="22"/>
      <c r="E173" s="22"/>
      <c r="F173" s="22"/>
      <c r="G173" s="22"/>
      <c r="H173" s="22"/>
      <c r="I173" s="22"/>
    </row>
    <row r="174" spans="3:9" ht="15.75" customHeight="1" x14ac:dyDescent="0.2">
      <c r="C174" s="21"/>
      <c r="D174" s="22"/>
      <c r="E174" s="22"/>
      <c r="F174" s="22"/>
      <c r="G174" s="22"/>
      <c r="H174" s="22"/>
      <c r="I174" s="22"/>
    </row>
    <row r="175" spans="3:9" ht="15.75" customHeight="1" x14ac:dyDescent="0.2">
      <c r="C175" s="21"/>
      <c r="D175" s="22"/>
      <c r="E175" s="22"/>
      <c r="F175" s="22"/>
      <c r="G175" s="22"/>
      <c r="H175" s="22"/>
      <c r="I175" s="22"/>
    </row>
    <row r="176" spans="3:9" ht="15.75" customHeight="1" x14ac:dyDescent="0.2">
      <c r="C176" s="21"/>
      <c r="D176" s="22"/>
      <c r="E176" s="22"/>
      <c r="F176" s="22"/>
      <c r="G176" s="22"/>
      <c r="H176" s="22"/>
      <c r="I176" s="22"/>
    </row>
    <row r="177" spans="3:9" ht="15.75" customHeight="1" x14ac:dyDescent="0.2">
      <c r="C177" s="21"/>
      <c r="D177" s="22"/>
      <c r="E177" s="22"/>
      <c r="F177" s="22"/>
      <c r="G177" s="22"/>
      <c r="H177" s="22"/>
      <c r="I177" s="22"/>
    </row>
    <row r="178" spans="3:9" ht="15.75" customHeight="1" x14ac:dyDescent="0.2">
      <c r="C178" s="21"/>
      <c r="D178" s="22"/>
      <c r="E178" s="22"/>
      <c r="F178" s="22"/>
      <c r="G178" s="22"/>
      <c r="H178" s="22"/>
      <c r="I178" s="22"/>
    </row>
    <row r="179" spans="3:9" ht="15.75" customHeight="1" x14ac:dyDescent="0.2">
      <c r="C179" s="21"/>
      <c r="D179" s="22"/>
      <c r="E179" s="22"/>
      <c r="F179" s="22"/>
      <c r="G179" s="22"/>
      <c r="H179" s="22"/>
      <c r="I179" s="22"/>
    </row>
    <row r="180" spans="3:9" ht="15.75" customHeight="1" x14ac:dyDescent="0.2">
      <c r="C180" s="21"/>
      <c r="D180" s="22"/>
      <c r="E180" s="22"/>
      <c r="F180" s="22"/>
      <c r="G180" s="22"/>
      <c r="H180" s="22"/>
      <c r="I180" s="22"/>
    </row>
    <row r="181" spans="3:9" ht="15.75" customHeight="1" x14ac:dyDescent="0.2">
      <c r="C181" s="21"/>
      <c r="D181" s="22"/>
      <c r="E181" s="22"/>
      <c r="F181" s="22"/>
      <c r="G181" s="22"/>
      <c r="H181" s="22"/>
      <c r="I181" s="22"/>
    </row>
    <row r="182" spans="3:9" ht="15.75" customHeight="1" x14ac:dyDescent="0.2">
      <c r="C182" s="21"/>
      <c r="D182" s="22"/>
      <c r="E182" s="22"/>
      <c r="F182" s="22"/>
      <c r="G182" s="22"/>
      <c r="H182" s="22"/>
      <c r="I182" s="22"/>
    </row>
    <row r="183" spans="3:9" ht="15.75" customHeight="1" x14ac:dyDescent="0.2">
      <c r="C183" s="21"/>
      <c r="D183" s="22"/>
      <c r="E183" s="22"/>
      <c r="F183" s="22"/>
      <c r="G183" s="22"/>
      <c r="H183" s="22"/>
      <c r="I183" s="22"/>
    </row>
    <row r="184" spans="3:9" ht="15.75" customHeight="1" x14ac:dyDescent="0.2">
      <c r="C184" s="21"/>
      <c r="D184" s="22"/>
      <c r="E184" s="22"/>
      <c r="F184" s="22"/>
      <c r="G184" s="22"/>
      <c r="H184" s="22"/>
      <c r="I184" s="22"/>
    </row>
    <row r="185" spans="3:9" ht="15.75" customHeight="1" x14ac:dyDescent="0.2">
      <c r="C185" s="21"/>
      <c r="D185" s="22"/>
      <c r="E185" s="22"/>
      <c r="F185" s="22"/>
      <c r="G185" s="22"/>
      <c r="H185" s="22"/>
      <c r="I185" s="22"/>
    </row>
    <row r="186" spans="3:9" ht="15.75" customHeight="1" x14ac:dyDescent="0.2">
      <c r="C186" s="21"/>
      <c r="D186" s="22"/>
      <c r="E186" s="22"/>
      <c r="F186" s="22"/>
      <c r="G186" s="22"/>
      <c r="H186" s="22"/>
      <c r="I186" s="22"/>
    </row>
    <row r="187" spans="3:9" ht="15.75" customHeight="1" x14ac:dyDescent="0.2">
      <c r="C187" s="21"/>
      <c r="D187" s="22"/>
      <c r="E187" s="22"/>
      <c r="F187" s="22"/>
      <c r="G187" s="22"/>
      <c r="H187" s="22"/>
      <c r="I187" s="22"/>
    </row>
    <row r="188" spans="3:9" ht="15.75" customHeight="1" x14ac:dyDescent="0.2">
      <c r="C188" s="21"/>
      <c r="D188" s="22"/>
      <c r="E188" s="22"/>
      <c r="F188" s="22"/>
      <c r="G188" s="22"/>
      <c r="H188" s="22"/>
      <c r="I188" s="22"/>
    </row>
    <row r="189" spans="3:9" ht="15.75" customHeight="1" x14ac:dyDescent="0.2">
      <c r="C189" s="21"/>
      <c r="D189" s="22"/>
      <c r="E189" s="22"/>
      <c r="F189" s="22"/>
      <c r="G189" s="22"/>
      <c r="H189" s="22"/>
      <c r="I189" s="22"/>
    </row>
    <row r="190" spans="3:9" ht="15.75" customHeight="1" x14ac:dyDescent="0.2">
      <c r="C190" s="21"/>
      <c r="D190" s="22"/>
      <c r="E190" s="22"/>
      <c r="F190" s="22"/>
      <c r="G190" s="22"/>
      <c r="H190" s="22"/>
      <c r="I190" s="22"/>
    </row>
    <row r="191" spans="3:9" ht="15.75" customHeight="1" x14ac:dyDescent="0.2">
      <c r="C191" s="21"/>
      <c r="D191" s="22"/>
      <c r="E191" s="22"/>
      <c r="F191" s="22"/>
      <c r="G191" s="22"/>
      <c r="H191" s="22"/>
      <c r="I191" s="22"/>
    </row>
    <row r="192" spans="3:9" ht="15.75" customHeight="1" x14ac:dyDescent="0.2">
      <c r="C192" s="21"/>
      <c r="D192" s="22"/>
      <c r="E192" s="22"/>
      <c r="F192" s="22"/>
      <c r="G192" s="22"/>
      <c r="H192" s="22"/>
      <c r="I192" s="22"/>
    </row>
    <row r="193" spans="3:9" ht="15.75" customHeight="1" x14ac:dyDescent="0.2">
      <c r="C193" s="21"/>
      <c r="D193" s="22"/>
      <c r="E193" s="22"/>
      <c r="F193" s="22"/>
      <c r="G193" s="22"/>
      <c r="H193" s="22"/>
      <c r="I193" s="22"/>
    </row>
    <row r="194" spans="3:9" ht="15.75" customHeight="1" x14ac:dyDescent="0.2">
      <c r="C194" s="21"/>
      <c r="D194" s="22"/>
      <c r="E194" s="22"/>
      <c r="F194" s="22"/>
      <c r="G194" s="22"/>
      <c r="H194" s="22"/>
      <c r="I194" s="22"/>
    </row>
    <row r="195" spans="3:9" ht="15.75" customHeight="1" x14ac:dyDescent="0.2">
      <c r="C195" s="21"/>
      <c r="D195" s="22"/>
      <c r="E195" s="22"/>
      <c r="F195" s="22"/>
      <c r="G195" s="22"/>
      <c r="H195" s="22"/>
      <c r="I195" s="22"/>
    </row>
    <row r="196" spans="3:9" ht="15.75" customHeight="1" x14ac:dyDescent="0.2">
      <c r="C196" s="21"/>
      <c r="D196" s="22"/>
      <c r="E196" s="22"/>
      <c r="F196" s="22"/>
      <c r="G196" s="22"/>
      <c r="H196" s="22"/>
      <c r="I196" s="22"/>
    </row>
    <row r="197" spans="3:9" ht="15.75" customHeight="1" x14ac:dyDescent="0.2">
      <c r="C197" s="21"/>
      <c r="D197" s="22"/>
      <c r="E197" s="22"/>
      <c r="F197" s="22"/>
      <c r="G197" s="22"/>
      <c r="H197" s="22"/>
      <c r="I197" s="22"/>
    </row>
    <row r="198" spans="3:9" ht="15.75" customHeight="1" x14ac:dyDescent="0.2">
      <c r="C198" s="21"/>
      <c r="D198" s="22"/>
      <c r="E198" s="22"/>
      <c r="F198" s="22"/>
      <c r="G198" s="22"/>
      <c r="H198" s="22"/>
      <c r="I198" s="22"/>
    </row>
    <row r="199" spans="3:9" ht="15.75" customHeight="1" x14ac:dyDescent="0.2">
      <c r="C199" s="21"/>
      <c r="D199" s="22"/>
      <c r="E199" s="22"/>
      <c r="F199" s="22"/>
      <c r="G199" s="22"/>
      <c r="H199" s="22"/>
      <c r="I199" s="22"/>
    </row>
    <row r="200" spans="3:9" ht="15.75" customHeight="1" x14ac:dyDescent="0.2">
      <c r="C200" s="21"/>
      <c r="D200" s="22"/>
      <c r="E200" s="22"/>
      <c r="F200" s="22"/>
      <c r="G200" s="22"/>
      <c r="H200" s="22"/>
      <c r="I200" s="22"/>
    </row>
    <row r="201" spans="3:9" ht="15.75" customHeight="1" x14ac:dyDescent="0.2">
      <c r="C201" s="21"/>
      <c r="D201" s="22"/>
      <c r="E201" s="22"/>
      <c r="F201" s="22"/>
      <c r="G201" s="22"/>
      <c r="H201" s="22"/>
      <c r="I201" s="22"/>
    </row>
    <row r="202" spans="3:9" ht="15.75" customHeight="1" x14ac:dyDescent="0.2">
      <c r="C202" s="21"/>
      <c r="D202" s="22"/>
      <c r="E202" s="22"/>
      <c r="F202" s="22"/>
      <c r="G202" s="22"/>
      <c r="H202" s="22"/>
      <c r="I202" s="22"/>
    </row>
    <row r="203" spans="3:9" ht="15.75" customHeight="1" x14ac:dyDescent="0.2">
      <c r="C203" s="21"/>
      <c r="D203" s="22"/>
      <c r="E203" s="22"/>
      <c r="F203" s="22"/>
      <c r="G203" s="22"/>
      <c r="H203" s="22"/>
      <c r="I203" s="22"/>
    </row>
    <row r="204" spans="3:9" ht="15.75" customHeight="1" x14ac:dyDescent="0.2">
      <c r="C204" s="21"/>
      <c r="D204" s="22"/>
      <c r="E204" s="22"/>
      <c r="F204" s="22"/>
      <c r="G204" s="22"/>
      <c r="H204" s="22"/>
      <c r="I204" s="22"/>
    </row>
    <row r="205" spans="3:9" ht="15.75" customHeight="1" x14ac:dyDescent="0.2">
      <c r="C205" s="21"/>
      <c r="D205" s="22"/>
      <c r="E205" s="22"/>
      <c r="F205" s="22"/>
      <c r="G205" s="22"/>
      <c r="H205" s="22"/>
      <c r="I205" s="22"/>
    </row>
    <row r="206" spans="3:9" ht="15.75" customHeight="1" x14ac:dyDescent="0.2">
      <c r="C206" s="21"/>
      <c r="D206" s="22"/>
      <c r="E206" s="22"/>
      <c r="F206" s="22"/>
      <c r="G206" s="22"/>
      <c r="H206" s="22"/>
      <c r="I206" s="22"/>
    </row>
    <row r="207" spans="3:9" ht="15.75" customHeight="1" x14ac:dyDescent="0.2">
      <c r="C207" s="21"/>
      <c r="D207" s="22"/>
      <c r="E207" s="22"/>
      <c r="F207" s="22"/>
      <c r="G207" s="22"/>
      <c r="H207" s="22"/>
      <c r="I207" s="22"/>
    </row>
    <row r="208" spans="3:9" ht="15.75" customHeight="1" x14ac:dyDescent="0.2">
      <c r="C208" s="21"/>
      <c r="D208" s="22"/>
      <c r="E208" s="22"/>
      <c r="F208" s="22"/>
      <c r="G208" s="22"/>
      <c r="H208" s="22"/>
      <c r="I208" s="22"/>
    </row>
    <row r="209" spans="3:9" ht="15.75" customHeight="1" x14ac:dyDescent="0.2">
      <c r="C209" s="21"/>
      <c r="D209" s="22"/>
      <c r="E209" s="22"/>
      <c r="F209" s="22"/>
      <c r="G209" s="22"/>
      <c r="H209" s="22"/>
      <c r="I209" s="22"/>
    </row>
    <row r="210" spans="3:9" ht="15.75" customHeight="1" x14ac:dyDescent="0.2">
      <c r="C210" s="21"/>
      <c r="D210" s="22"/>
      <c r="E210" s="22"/>
      <c r="F210" s="22"/>
      <c r="G210" s="22"/>
      <c r="H210" s="22"/>
      <c r="I210" s="22"/>
    </row>
    <row r="211" spans="3:9" ht="15.75" customHeight="1" x14ac:dyDescent="0.2">
      <c r="C211" s="21"/>
      <c r="D211" s="22"/>
      <c r="E211" s="22"/>
      <c r="F211" s="22"/>
      <c r="G211" s="22"/>
      <c r="H211" s="22"/>
      <c r="I211" s="22"/>
    </row>
    <row r="212" spans="3:9" ht="15.75" customHeight="1" x14ac:dyDescent="0.2">
      <c r="C212" s="21"/>
      <c r="D212" s="22"/>
      <c r="E212" s="22"/>
      <c r="F212" s="22"/>
      <c r="G212" s="22"/>
      <c r="H212" s="22"/>
      <c r="I212" s="22"/>
    </row>
    <row r="213" spans="3:9" ht="15.75" customHeight="1" x14ac:dyDescent="0.2">
      <c r="C213" s="21"/>
      <c r="D213" s="22"/>
      <c r="E213" s="22"/>
      <c r="F213" s="22"/>
      <c r="G213" s="22"/>
      <c r="H213" s="22"/>
      <c r="I213" s="22"/>
    </row>
    <row r="214" spans="3:9" ht="15.75" customHeight="1" x14ac:dyDescent="0.2">
      <c r="C214" s="21"/>
      <c r="D214" s="22"/>
      <c r="E214" s="22"/>
      <c r="F214" s="22"/>
      <c r="G214" s="22"/>
      <c r="H214" s="22"/>
      <c r="I214" s="22"/>
    </row>
    <row r="215" spans="3:9" ht="15.75" customHeight="1" x14ac:dyDescent="0.2">
      <c r="C215" s="21"/>
      <c r="D215" s="22"/>
      <c r="E215" s="22"/>
      <c r="F215" s="22"/>
      <c r="G215" s="22"/>
      <c r="H215" s="22"/>
      <c r="I215" s="22"/>
    </row>
    <row r="216" spans="3:9" ht="15.75" customHeight="1" x14ac:dyDescent="0.2">
      <c r="C216" s="21"/>
      <c r="D216" s="22"/>
      <c r="E216" s="22"/>
      <c r="F216" s="22"/>
      <c r="G216" s="22"/>
      <c r="H216" s="22"/>
      <c r="I216" s="22"/>
    </row>
    <row r="217" spans="3:9" ht="15.75" customHeight="1" x14ac:dyDescent="0.2">
      <c r="C217" s="21"/>
      <c r="D217" s="22"/>
      <c r="E217" s="22"/>
      <c r="F217" s="22"/>
      <c r="G217" s="22"/>
      <c r="H217" s="22"/>
      <c r="I217" s="22"/>
    </row>
    <row r="218" spans="3:9" ht="15.75" customHeight="1" x14ac:dyDescent="0.2">
      <c r="C218" s="21"/>
      <c r="D218" s="22"/>
      <c r="E218" s="22"/>
      <c r="F218" s="22"/>
      <c r="G218" s="22"/>
      <c r="H218" s="22"/>
      <c r="I218" s="22"/>
    </row>
    <row r="219" spans="3:9" ht="15.75" customHeight="1" x14ac:dyDescent="0.2">
      <c r="C219" s="21"/>
      <c r="D219" s="22"/>
      <c r="E219" s="22"/>
      <c r="F219" s="22"/>
      <c r="G219" s="22"/>
      <c r="H219" s="22"/>
      <c r="I219" s="22"/>
    </row>
    <row r="220" spans="3:9" ht="15.75" customHeight="1" x14ac:dyDescent="0.2">
      <c r="C220" s="21"/>
      <c r="D220" s="22"/>
      <c r="E220" s="22"/>
      <c r="F220" s="22"/>
      <c r="G220" s="22"/>
      <c r="H220" s="22"/>
      <c r="I220" s="22"/>
    </row>
    <row r="221" spans="3:9" ht="15.75" customHeight="1" x14ac:dyDescent="0.2">
      <c r="C221" s="21"/>
      <c r="D221" s="22"/>
      <c r="E221" s="22"/>
      <c r="F221" s="22"/>
      <c r="G221" s="22"/>
      <c r="H221" s="22"/>
      <c r="I221" s="22"/>
    </row>
    <row r="222" spans="3:9" ht="15.75" customHeight="1" x14ac:dyDescent="0.2">
      <c r="C222" s="21"/>
      <c r="D222" s="22"/>
      <c r="E222" s="22"/>
      <c r="F222" s="22"/>
      <c r="G222" s="22"/>
      <c r="H222" s="22"/>
      <c r="I222" s="22"/>
    </row>
    <row r="223" spans="3:9" ht="15.75" customHeight="1" x14ac:dyDescent="0.2">
      <c r="C223" s="21"/>
      <c r="D223" s="22"/>
      <c r="E223" s="22"/>
      <c r="F223" s="22"/>
      <c r="G223" s="22"/>
      <c r="H223" s="22"/>
      <c r="I223" s="22"/>
    </row>
    <row r="224" spans="3:9" ht="15.75" customHeight="1" x14ac:dyDescent="0.2">
      <c r="C224" s="21"/>
      <c r="D224" s="22"/>
      <c r="E224" s="22"/>
      <c r="F224" s="22"/>
      <c r="G224" s="22"/>
      <c r="H224" s="22"/>
      <c r="I224" s="22"/>
    </row>
    <row r="225" spans="3:9" ht="15.75" customHeight="1" x14ac:dyDescent="0.2">
      <c r="C225" s="21"/>
      <c r="D225" s="22"/>
      <c r="E225" s="22"/>
      <c r="F225" s="22"/>
      <c r="G225" s="22"/>
      <c r="H225" s="22"/>
      <c r="I225" s="22"/>
    </row>
    <row r="226" spans="3:9" ht="15.75" customHeight="1" x14ac:dyDescent="0.2">
      <c r="C226" s="21"/>
      <c r="D226" s="22"/>
      <c r="E226" s="22"/>
      <c r="F226" s="22"/>
      <c r="G226" s="22"/>
      <c r="H226" s="22"/>
      <c r="I226" s="22"/>
    </row>
    <row r="227" spans="3:9" ht="15.75" customHeight="1" x14ac:dyDescent="0.2">
      <c r="C227" s="21"/>
      <c r="D227" s="22"/>
      <c r="E227" s="22"/>
      <c r="F227" s="22"/>
      <c r="G227" s="22"/>
      <c r="H227" s="22"/>
      <c r="I227" s="22"/>
    </row>
    <row r="228" spans="3:9" ht="15.75" customHeight="1" x14ac:dyDescent="0.2">
      <c r="C228" s="21"/>
      <c r="D228" s="22"/>
      <c r="E228" s="22"/>
      <c r="F228" s="22"/>
      <c r="G228" s="22"/>
      <c r="H228" s="22"/>
      <c r="I228" s="22"/>
    </row>
    <row r="229" spans="3:9" ht="15.75" customHeight="1" x14ac:dyDescent="0.2">
      <c r="C229" s="21"/>
      <c r="D229" s="22"/>
      <c r="E229" s="22"/>
      <c r="F229" s="22"/>
      <c r="G229" s="22"/>
      <c r="H229" s="22"/>
      <c r="I229" s="22"/>
    </row>
    <row r="230" spans="3:9" ht="15.75" customHeight="1" x14ac:dyDescent="0.2">
      <c r="C230" s="21"/>
      <c r="D230" s="22"/>
      <c r="E230" s="22"/>
      <c r="F230" s="22"/>
      <c r="G230" s="22"/>
      <c r="H230" s="22"/>
      <c r="I230" s="22"/>
    </row>
    <row r="231" spans="3:9" ht="15.75" customHeight="1" x14ac:dyDescent="0.2">
      <c r="C231" s="21"/>
      <c r="D231" s="22"/>
      <c r="E231" s="22"/>
      <c r="F231" s="22"/>
      <c r="G231" s="22"/>
      <c r="H231" s="22"/>
      <c r="I231" s="22"/>
    </row>
    <row r="232" spans="3:9" ht="15.75" customHeight="1" x14ac:dyDescent="0.2">
      <c r="C232" s="21"/>
      <c r="D232" s="22"/>
      <c r="E232" s="22"/>
      <c r="F232" s="22"/>
      <c r="G232" s="22"/>
      <c r="H232" s="22"/>
      <c r="I232" s="22"/>
    </row>
    <row r="233" spans="3:9" ht="15.75" customHeight="1" x14ac:dyDescent="0.2">
      <c r="C233" s="21"/>
      <c r="D233" s="22"/>
      <c r="E233" s="22"/>
      <c r="F233" s="22"/>
      <c r="G233" s="22"/>
      <c r="H233" s="22"/>
      <c r="I233" s="22"/>
    </row>
    <row r="234" spans="3:9" ht="15.75" customHeight="1" x14ac:dyDescent="0.2">
      <c r="C234" s="21"/>
      <c r="D234" s="22"/>
      <c r="E234" s="22"/>
      <c r="F234" s="22"/>
      <c r="G234" s="22"/>
      <c r="H234" s="22"/>
      <c r="I234" s="22"/>
    </row>
    <row r="235" spans="3:9" ht="15.75" customHeight="1" x14ac:dyDescent="0.2">
      <c r="C235" s="21"/>
      <c r="D235" s="22"/>
      <c r="E235" s="22"/>
      <c r="F235" s="22"/>
      <c r="G235" s="22"/>
      <c r="H235" s="22"/>
      <c r="I235" s="22"/>
    </row>
    <row r="236" spans="3:9" ht="15.75" customHeight="1" x14ac:dyDescent="0.2">
      <c r="C236" s="21"/>
      <c r="D236" s="22"/>
      <c r="E236" s="22"/>
      <c r="F236" s="22"/>
      <c r="G236" s="22"/>
      <c r="H236" s="22"/>
      <c r="I236" s="22"/>
    </row>
    <row r="237" spans="3:9" ht="15.75" customHeight="1" x14ac:dyDescent="0.2">
      <c r="C237" s="21"/>
      <c r="D237" s="22"/>
      <c r="E237" s="22"/>
      <c r="F237" s="22"/>
      <c r="G237" s="22"/>
      <c r="H237" s="22"/>
      <c r="I237" s="22"/>
    </row>
    <row r="238" spans="3:9" ht="15.75" customHeight="1" x14ac:dyDescent="0.2">
      <c r="C238" s="21"/>
      <c r="D238" s="22"/>
      <c r="E238" s="22"/>
      <c r="F238" s="22"/>
      <c r="G238" s="22"/>
      <c r="H238" s="22"/>
      <c r="I238" s="22"/>
    </row>
    <row r="239" spans="3:9" ht="15.75" customHeight="1" x14ac:dyDescent="0.2">
      <c r="C239" s="21"/>
      <c r="D239" s="22"/>
      <c r="E239" s="22"/>
      <c r="F239" s="22"/>
      <c r="G239" s="22"/>
      <c r="H239" s="22"/>
      <c r="I239" s="22"/>
    </row>
    <row r="240" spans="3:9" ht="15.75" customHeight="1" x14ac:dyDescent="0.2">
      <c r="C240" s="21"/>
      <c r="D240" s="22"/>
      <c r="E240" s="22"/>
      <c r="F240" s="22"/>
      <c r="G240" s="22"/>
      <c r="H240" s="22"/>
      <c r="I240" s="22"/>
    </row>
    <row r="241" spans="3:9" ht="15.75" customHeight="1" x14ac:dyDescent="0.2">
      <c r="C241" s="21"/>
      <c r="D241" s="22"/>
      <c r="E241" s="22"/>
      <c r="F241" s="22"/>
      <c r="G241" s="22"/>
      <c r="H241" s="22"/>
      <c r="I241" s="22"/>
    </row>
    <row r="242" spans="3:9" ht="15.75" customHeight="1" x14ac:dyDescent="0.2">
      <c r="C242" s="21"/>
      <c r="D242" s="22"/>
      <c r="E242" s="22"/>
      <c r="F242" s="22"/>
      <c r="G242" s="22"/>
      <c r="H242" s="22"/>
      <c r="I242" s="22"/>
    </row>
    <row r="243" spans="3:9" ht="15.75" customHeight="1" x14ac:dyDescent="0.2">
      <c r="C243" s="21"/>
      <c r="D243" s="22"/>
      <c r="E243" s="22"/>
      <c r="F243" s="22"/>
      <c r="G243" s="22"/>
      <c r="H243" s="22"/>
      <c r="I243" s="22"/>
    </row>
    <row r="244" spans="3:9" ht="15.75" customHeight="1" x14ac:dyDescent="0.2">
      <c r="C244" s="21"/>
      <c r="D244" s="22"/>
      <c r="E244" s="22"/>
      <c r="F244" s="22"/>
      <c r="G244" s="22"/>
      <c r="H244" s="22"/>
      <c r="I244" s="22"/>
    </row>
    <row r="245" spans="3:9" ht="15.75" customHeight="1" x14ac:dyDescent="0.2">
      <c r="C245" s="21"/>
      <c r="D245" s="22"/>
      <c r="E245" s="22"/>
      <c r="F245" s="22"/>
      <c r="G245" s="22"/>
      <c r="H245" s="22"/>
      <c r="I245" s="22"/>
    </row>
    <row r="246" spans="3:9" ht="15.75" customHeight="1" x14ac:dyDescent="0.2">
      <c r="C246" s="21"/>
      <c r="D246" s="22"/>
      <c r="E246" s="22"/>
      <c r="F246" s="22"/>
      <c r="G246" s="22"/>
      <c r="H246" s="22"/>
      <c r="I246" s="22"/>
    </row>
    <row r="247" spans="3:9" ht="15.75" customHeight="1" x14ac:dyDescent="0.2">
      <c r="C247" s="21"/>
      <c r="D247" s="22"/>
      <c r="E247" s="22"/>
      <c r="F247" s="22"/>
      <c r="G247" s="22"/>
      <c r="H247" s="22"/>
      <c r="I247" s="22"/>
    </row>
    <row r="248" spans="3:9" ht="15.75" customHeight="1" x14ac:dyDescent="0.2">
      <c r="C248" s="21"/>
      <c r="D248" s="22"/>
      <c r="E248" s="22"/>
      <c r="F248" s="22"/>
      <c r="G248" s="22"/>
      <c r="H248" s="22"/>
      <c r="I248" s="22"/>
    </row>
    <row r="249" spans="3:9" ht="15.75" customHeight="1" x14ac:dyDescent="0.2">
      <c r="C249" s="21"/>
      <c r="D249" s="22"/>
      <c r="E249" s="22"/>
      <c r="F249" s="22"/>
      <c r="G249" s="22"/>
      <c r="H249" s="22"/>
      <c r="I249" s="22"/>
    </row>
    <row r="250" spans="3:9" ht="15.75" customHeight="1" x14ac:dyDescent="0.2">
      <c r="C250" s="21"/>
      <c r="D250" s="22"/>
      <c r="E250" s="22"/>
      <c r="F250" s="22"/>
      <c r="G250" s="22"/>
      <c r="H250" s="22"/>
      <c r="I250" s="22"/>
    </row>
    <row r="251" spans="3:9" ht="15.75" customHeight="1" x14ac:dyDescent="0.2">
      <c r="C251" s="21"/>
      <c r="D251" s="22"/>
      <c r="E251" s="22"/>
      <c r="F251" s="22"/>
      <c r="G251" s="22"/>
      <c r="H251" s="22"/>
      <c r="I251" s="22"/>
    </row>
    <row r="252" spans="3:9" ht="15.75" customHeight="1" x14ac:dyDescent="0.2">
      <c r="C252" s="21"/>
      <c r="D252" s="22"/>
      <c r="E252" s="22"/>
      <c r="F252" s="22"/>
      <c r="G252" s="22"/>
      <c r="H252" s="22"/>
      <c r="I252" s="22"/>
    </row>
    <row r="253" spans="3:9" ht="15.75" customHeight="1" x14ac:dyDescent="0.2">
      <c r="C253" s="21"/>
      <c r="D253" s="22"/>
      <c r="E253" s="22"/>
      <c r="F253" s="22"/>
      <c r="G253" s="22"/>
      <c r="H253" s="22"/>
      <c r="I253" s="22"/>
    </row>
    <row r="254" spans="3:9" ht="15.75" customHeight="1" x14ac:dyDescent="0.2">
      <c r="C254" s="21"/>
      <c r="D254" s="22"/>
      <c r="E254" s="22"/>
      <c r="F254" s="22"/>
      <c r="G254" s="22"/>
      <c r="H254" s="22"/>
      <c r="I254" s="22"/>
    </row>
    <row r="255" spans="3:9" ht="15.75" customHeight="1" x14ac:dyDescent="0.2">
      <c r="C255" s="21"/>
      <c r="D255" s="22"/>
      <c r="E255" s="22"/>
      <c r="F255" s="22"/>
      <c r="G255" s="22"/>
      <c r="H255" s="22"/>
      <c r="I255" s="22"/>
    </row>
    <row r="256" spans="3:9" ht="15.75" customHeight="1" x14ac:dyDescent="0.2">
      <c r="C256" s="21"/>
      <c r="D256" s="22"/>
      <c r="E256" s="22"/>
      <c r="F256" s="22"/>
      <c r="G256" s="22"/>
      <c r="H256" s="22"/>
      <c r="I256" s="22"/>
    </row>
    <row r="257" spans="3:9" ht="15.75" customHeight="1" x14ac:dyDescent="0.2">
      <c r="C257" s="21"/>
      <c r="D257" s="22"/>
      <c r="E257" s="22"/>
      <c r="F257" s="22"/>
      <c r="G257" s="22"/>
      <c r="H257" s="22"/>
      <c r="I257" s="22"/>
    </row>
    <row r="258" spans="3:9" ht="15.75" customHeight="1" x14ac:dyDescent="0.2">
      <c r="C258" s="21"/>
      <c r="D258" s="22"/>
      <c r="E258" s="22"/>
      <c r="F258" s="22"/>
      <c r="G258" s="22"/>
      <c r="H258" s="22"/>
      <c r="I258" s="22"/>
    </row>
    <row r="259" spans="3:9" ht="15.75" customHeight="1" x14ac:dyDescent="0.2">
      <c r="C259" s="21"/>
      <c r="D259" s="22"/>
      <c r="E259" s="22"/>
      <c r="F259" s="22"/>
      <c r="G259" s="22"/>
      <c r="H259" s="22"/>
      <c r="I259" s="22"/>
    </row>
    <row r="260" spans="3:9" ht="15.75" customHeight="1" x14ac:dyDescent="0.2">
      <c r="C260" s="21"/>
      <c r="D260" s="22"/>
      <c r="E260" s="22"/>
      <c r="F260" s="22"/>
      <c r="G260" s="22"/>
      <c r="H260" s="22"/>
      <c r="I260" s="22"/>
    </row>
    <row r="261" spans="3:9" ht="15.75" customHeight="1" x14ac:dyDescent="0.2">
      <c r="C261" s="21"/>
      <c r="D261" s="22"/>
      <c r="E261" s="22"/>
      <c r="F261" s="22"/>
      <c r="G261" s="22"/>
      <c r="H261" s="22"/>
      <c r="I261" s="22"/>
    </row>
    <row r="262" spans="3:9" ht="15.75" customHeight="1" x14ac:dyDescent="0.2">
      <c r="C262" s="21"/>
      <c r="D262" s="22"/>
      <c r="E262" s="22"/>
      <c r="F262" s="22"/>
      <c r="G262" s="22"/>
      <c r="H262" s="22"/>
      <c r="I262" s="22"/>
    </row>
    <row r="263" spans="3:9" ht="15.75" customHeight="1" x14ac:dyDescent="0.2">
      <c r="C263" s="21"/>
      <c r="D263" s="22"/>
      <c r="E263" s="22"/>
      <c r="F263" s="22"/>
      <c r="G263" s="22"/>
      <c r="H263" s="22"/>
      <c r="I263" s="22"/>
    </row>
    <row r="264" spans="3:9" ht="15.75" customHeight="1" x14ac:dyDescent="0.2">
      <c r="C264" s="21"/>
      <c r="D264" s="22"/>
      <c r="E264" s="22"/>
      <c r="F264" s="22"/>
      <c r="G264" s="22"/>
      <c r="H264" s="22"/>
      <c r="I264" s="22"/>
    </row>
    <row r="265" spans="3:9" ht="15.75" customHeight="1" x14ac:dyDescent="0.2">
      <c r="C265" s="21"/>
      <c r="D265" s="22"/>
      <c r="E265" s="22"/>
      <c r="F265" s="22"/>
      <c r="G265" s="22"/>
      <c r="H265" s="22"/>
      <c r="I265" s="22"/>
    </row>
    <row r="266" spans="3:9" ht="15.75" customHeight="1" x14ac:dyDescent="0.2">
      <c r="C266" s="21"/>
      <c r="D266" s="22"/>
      <c r="E266" s="22"/>
      <c r="F266" s="22"/>
      <c r="G266" s="22"/>
      <c r="H266" s="22"/>
      <c r="I266" s="22"/>
    </row>
    <row r="267" spans="3:9" ht="15.75" customHeight="1" x14ac:dyDescent="0.2">
      <c r="C267" s="21"/>
      <c r="D267" s="22"/>
      <c r="E267" s="22"/>
      <c r="F267" s="22"/>
      <c r="G267" s="22"/>
      <c r="H267" s="22"/>
      <c r="I267" s="22"/>
    </row>
    <row r="268" spans="3:9" ht="15.75" customHeight="1" x14ac:dyDescent="0.2">
      <c r="C268" s="21"/>
      <c r="D268" s="22"/>
      <c r="E268" s="22"/>
      <c r="F268" s="22"/>
      <c r="G268" s="22"/>
      <c r="H268" s="22"/>
      <c r="I268" s="22"/>
    </row>
    <row r="269" spans="3:9" ht="15.75" customHeight="1" x14ac:dyDescent="0.2">
      <c r="C269" s="21"/>
      <c r="D269" s="22"/>
      <c r="E269" s="22"/>
      <c r="F269" s="22"/>
      <c r="G269" s="22"/>
      <c r="H269" s="22"/>
      <c r="I269" s="22"/>
    </row>
    <row r="270" spans="3:9" ht="15.75" customHeight="1" x14ac:dyDescent="0.2">
      <c r="C270" s="21"/>
      <c r="D270" s="22"/>
      <c r="E270" s="22"/>
      <c r="F270" s="22"/>
      <c r="G270" s="22"/>
      <c r="H270" s="22"/>
      <c r="I270" s="22"/>
    </row>
    <row r="271" spans="3:9" ht="15.75" customHeight="1" x14ac:dyDescent="0.2">
      <c r="C271" s="21"/>
      <c r="D271" s="22"/>
      <c r="E271" s="22"/>
      <c r="F271" s="22"/>
      <c r="G271" s="22"/>
      <c r="H271" s="22"/>
      <c r="I271" s="22"/>
    </row>
    <row r="272" spans="3:9" ht="15.75" customHeight="1" x14ac:dyDescent="0.2">
      <c r="C272" s="21"/>
      <c r="D272" s="22"/>
      <c r="E272" s="22"/>
      <c r="F272" s="22"/>
      <c r="G272" s="22"/>
      <c r="H272" s="22"/>
      <c r="I272" s="22"/>
    </row>
    <row r="273" spans="3:9" ht="15.75" customHeight="1" x14ac:dyDescent="0.2">
      <c r="C273" s="21"/>
      <c r="D273" s="22"/>
      <c r="E273" s="22"/>
      <c r="F273" s="22"/>
      <c r="G273" s="22"/>
      <c r="H273" s="22"/>
      <c r="I273" s="22"/>
    </row>
    <row r="274" spans="3:9" ht="15.75" customHeight="1" x14ac:dyDescent="0.2">
      <c r="C274" s="21"/>
      <c r="D274" s="22"/>
      <c r="E274" s="22"/>
      <c r="F274" s="22"/>
      <c r="G274" s="22"/>
      <c r="H274" s="22"/>
      <c r="I274" s="22"/>
    </row>
    <row r="275" spans="3:9" ht="15.75" customHeight="1" x14ac:dyDescent="0.2">
      <c r="C275" s="21"/>
      <c r="D275" s="22"/>
      <c r="E275" s="22"/>
      <c r="F275" s="22"/>
      <c r="G275" s="22"/>
      <c r="H275" s="22"/>
      <c r="I275" s="22"/>
    </row>
    <row r="276" spans="3:9" ht="15.75" customHeight="1" x14ac:dyDescent="0.2">
      <c r="C276" s="21"/>
      <c r="D276" s="22"/>
      <c r="E276" s="22"/>
      <c r="F276" s="22"/>
      <c r="G276" s="22"/>
      <c r="H276" s="22"/>
      <c r="I276" s="22"/>
    </row>
    <row r="277" spans="3:9" ht="15.75" customHeight="1" x14ac:dyDescent="0.2">
      <c r="C277" s="21"/>
      <c r="D277" s="22"/>
      <c r="E277" s="22"/>
      <c r="F277" s="22"/>
      <c r="G277" s="22"/>
      <c r="H277" s="22"/>
      <c r="I277" s="22"/>
    </row>
    <row r="278" spans="3:9" ht="15.75" customHeight="1" x14ac:dyDescent="0.2">
      <c r="C278" s="21"/>
      <c r="D278" s="22"/>
      <c r="E278" s="22"/>
      <c r="F278" s="22"/>
      <c r="G278" s="22"/>
      <c r="H278" s="22"/>
      <c r="I278" s="22"/>
    </row>
    <row r="279" spans="3:9" ht="15.75" customHeight="1" x14ac:dyDescent="0.2">
      <c r="C279" s="21"/>
      <c r="D279" s="22"/>
      <c r="E279" s="22"/>
      <c r="F279" s="22"/>
      <c r="G279" s="22"/>
      <c r="H279" s="22"/>
      <c r="I279" s="22"/>
    </row>
    <row r="280" spans="3:9" ht="15.75" customHeight="1" x14ac:dyDescent="0.2">
      <c r="C280" s="21"/>
      <c r="D280" s="22"/>
      <c r="E280" s="22"/>
      <c r="F280" s="22"/>
      <c r="G280" s="22"/>
      <c r="H280" s="22"/>
      <c r="I280" s="22"/>
    </row>
    <row r="281" spans="3:9" ht="15.75" customHeight="1" x14ac:dyDescent="0.2">
      <c r="C281" s="21"/>
      <c r="D281" s="22"/>
      <c r="E281" s="22"/>
      <c r="F281" s="22"/>
      <c r="G281" s="22"/>
      <c r="H281" s="22"/>
      <c r="I281" s="22"/>
    </row>
    <row r="282" spans="3:9" ht="15.75" customHeight="1" x14ac:dyDescent="0.2">
      <c r="C282" s="21"/>
      <c r="D282" s="22"/>
      <c r="E282" s="22"/>
      <c r="F282" s="22"/>
      <c r="G282" s="22"/>
      <c r="H282" s="22"/>
      <c r="I282" s="22"/>
    </row>
    <row r="283" spans="3:9" ht="15.75" customHeight="1" x14ac:dyDescent="0.2">
      <c r="C283" s="21"/>
      <c r="D283" s="22"/>
      <c r="E283" s="22"/>
      <c r="F283" s="22"/>
      <c r="G283" s="22"/>
      <c r="H283" s="22"/>
      <c r="I283" s="22"/>
    </row>
    <row r="284" spans="3:9" ht="15.75" customHeight="1" x14ac:dyDescent="0.2">
      <c r="C284" s="21"/>
      <c r="D284" s="22"/>
      <c r="E284" s="22"/>
      <c r="F284" s="22"/>
      <c r="G284" s="22"/>
      <c r="H284" s="22"/>
      <c r="I284" s="22"/>
    </row>
    <row r="285" spans="3:9" ht="15.75" customHeight="1" x14ac:dyDescent="0.2">
      <c r="C285" s="21"/>
      <c r="D285" s="22"/>
      <c r="E285" s="22"/>
      <c r="F285" s="22"/>
      <c r="G285" s="22"/>
      <c r="H285" s="22"/>
      <c r="I285" s="22"/>
    </row>
    <row r="286" spans="3:9" ht="15.75" customHeight="1" x14ac:dyDescent="0.2">
      <c r="C286" s="21"/>
      <c r="D286" s="22"/>
      <c r="E286" s="22"/>
      <c r="F286" s="22"/>
      <c r="G286" s="22"/>
      <c r="H286" s="22"/>
      <c r="I286" s="22"/>
    </row>
    <row r="287" spans="3:9" ht="15.75" customHeight="1" x14ac:dyDescent="0.2">
      <c r="C287" s="21"/>
      <c r="D287" s="22"/>
      <c r="E287" s="22"/>
      <c r="F287" s="22"/>
      <c r="G287" s="22"/>
      <c r="H287" s="22"/>
      <c r="I287" s="22"/>
    </row>
    <row r="288" spans="3:9" ht="15.75" customHeight="1" x14ac:dyDescent="0.2">
      <c r="C288" s="21"/>
      <c r="D288" s="22"/>
      <c r="E288" s="22"/>
      <c r="F288" s="22"/>
      <c r="G288" s="22"/>
      <c r="H288" s="22"/>
      <c r="I288" s="22"/>
    </row>
    <row r="289" spans="3:9" ht="15.75" customHeight="1" x14ac:dyDescent="0.2">
      <c r="C289" s="21"/>
      <c r="D289" s="22"/>
      <c r="E289" s="22"/>
      <c r="F289" s="22"/>
      <c r="G289" s="22"/>
      <c r="H289" s="22"/>
      <c r="I289" s="22"/>
    </row>
    <row r="290" spans="3:9" ht="15.75" customHeight="1" x14ac:dyDescent="0.2">
      <c r="C290" s="21"/>
      <c r="D290" s="22"/>
      <c r="E290" s="22"/>
      <c r="F290" s="22"/>
      <c r="G290" s="22"/>
      <c r="H290" s="22"/>
      <c r="I290" s="22"/>
    </row>
    <row r="291" spans="3:9" ht="15.75" customHeight="1" x14ac:dyDescent="0.2">
      <c r="C291" s="21"/>
      <c r="D291" s="22"/>
      <c r="E291" s="22"/>
      <c r="F291" s="22"/>
      <c r="G291" s="22"/>
      <c r="H291" s="22"/>
      <c r="I291" s="22"/>
    </row>
    <row r="292" spans="3:9" ht="15.75" customHeight="1" x14ac:dyDescent="0.2">
      <c r="C292" s="21"/>
      <c r="D292" s="22"/>
      <c r="E292" s="22"/>
      <c r="F292" s="22"/>
      <c r="G292" s="22"/>
      <c r="H292" s="22"/>
      <c r="I292" s="22"/>
    </row>
    <row r="293" spans="3:9" ht="15.75" customHeight="1" x14ac:dyDescent="0.2">
      <c r="C293" s="21"/>
      <c r="D293" s="22"/>
      <c r="E293" s="22"/>
      <c r="F293" s="22"/>
      <c r="G293" s="22"/>
      <c r="H293" s="22"/>
      <c r="I293" s="22"/>
    </row>
    <row r="294" spans="3:9" ht="15.75" customHeight="1" x14ac:dyDescent="0.2">
      <c r="C294" s="21"/>
      <c r="D294" s="22"/>
      <c r="E294" s="22"/>
      <c r="F294" s="22"/>
      <c r="G294" s="22"/>
      <c r="H294" s="22"/>
      <c r="I294" s="22"/>
    </row>
    <row r="295" spans="3:9" ht="15.75" customHeight="1" x14ac:dyDescent="0.2">
      <c r="C295" s="21"/>
      <c r="D295" s="22"/>
      <c r="E295" s="22"/>
      <c r="F295" s="22"/>
      <c r="G295" s="22"/>
      <c r="H295" s="22"/>
      <c r="I295" s="22"/>
    </row>
    <row r="296" spans="3:9" ht="15.75" customHeight="1" x14ac:dyDescent="0.2">
      <c r="C296" s="21"/>
      <c r="D296" s="22"/>
      <c r="E296" s="22"/>
      <c r="F296" s="22"/>
      <c r="G296" s="22"/>
      <c r="H296" s="22"/>
      <c r="I296" s="22"/>
    </row>
    <row r="297" spans="3:9" ht="15.75" customHeight="1" x14ac:dyDescent="0.2">
      <c r="C297" s="21"/>
      <c r="D297" s="22"/>
      <c r="E297" s="22"/>
      <c r="F297" s="22"/>
      <c r="G297" s="22"/>
      <c r="H297" s="22"/>
      <c r="I297" s="22"/>
    </row>
    <row r="298" spans="3:9" ht="15.75" customHeight="1" x14ac:dyDescent="0.2">
      <c r="C298" s="21"/>
      <c r="D298" s="22"/>
      <c r="E298" s="22"/>
      <c r="F298" s="22"/>
      <c r="G298" s="22"/>
      <c r="H298" s="22"/>
      <c r="I298" s="22"/>
    </row>
    <row r="299" spans="3:9" ht="15.75" customHeight="1" x14ac:dyDescent="0.2">
      <c r="C299" s="21"/>
      <c r="D299" s="22"/>
      <c r="E299" s="22"/>
      <c r="F299" s="22"/>
      <c r="G299" s="22"/>
      <c r="H299" s="22"/>
      <c r="I299" s="22"/>
    </row>
    <row r="300" spans="3:9" ht="15.75" customHeight="1" x14ac:dyDescent="0.2">
      <c r="C300" s="21"/>
      <c r="D300" s="22"/>
      <c r="E300" s="22"/>
      <c r="F300" s="22"/>
      <c r="G300" s="22"/>
      <c r="H300" s="22"/>
      <c r="I300" s="22"/>
    </row>
    <row r="301" spans="3:9" ht="15.75" customHeight="1" x14ac:dyDescent="0.2">
      <c r="C301" s="21"/>
      <c r="D301" s="22"/>
      <c r="E301" s="22"/>
      <c r="F301" s="22"/>
      <c r="G301" s="22"/>
      <c r="H301" s="22"/>
      <c r="I301" s="22"/>
    </row>
    <row r="302" spans="3:9" ht="15.75" customHeight="1" x14ac:dyDescent="0.2">
      <c r="C302" s="21"/>
      <c r="D302" s="22"/>
      <c r="E302" s="22"/>
      <c r="F302" s="22"/>
      <c r="G302" s="22"/>
      <c r="H302" s="22"/>
      <c r="I302" s="22"/>
    </row>
    <row r="303" spans="3:9" ht="15.75" customHeight="1" x14ac:dyDescent="0.2">
      <c r="C303" s="21"/>
      <c r="D303" s="22"/>
      <c r="E303" s="22"/>
      <c r="F303" s="22"/>
      <c r="G303" s="22"/>
      <c r="H303" s="22"/>
      <c r="I303" s="22"/>
    </row>
    <row r="304" spans="3:9" ht="15.75" customHeight="1" x14ac:dyDescent="0.2">
      <c r="C304" s="21"/>
      <c r="D304" s="22"/>
      <c r="E304" s="22"/>
      <c r="F304" s="22"/>
      <c r="G304" s="22"/>
      <c r="H304" s="22"/>
      <c r="I304" s="22"/>
    </row>
    <row r="305" spans="3:9" ht="15.75" customHeight="1" x14ac:dyDescent="0.2">
      <c r="C305" s="21"/>
      <c r="D305" s="22"/>
      <c r="E305" s="22"/>
      <c r="F305" s="22"/>
      <c r="G305" s="22"/>
      <c r="H305" s="22"/>
      <c r="I305" s="22"/>
    </row>
    <row r="306" spans="3:9" ht="15.75" customHeight="1" x14ac:dyDescent="0.2">
      <c r="C306" s="21"/>
      <c r="D306" s="22"/>
      <c r="E306" s="22"/>
      <c r="F306" s="22"/>
      <c r="G306" s="22"/>
      <c r="H306" s="22"/>
      <c r="I306" s="22"/>
    </row>
    <row r="307" spans="3:9" ht="15.75" customHeight="1" x14ac:dyDescent="0.2">
      <c r="C307" s="21"/>
      <c r="D307" s="22"/>
      <c r="E307" s="22"/>
      <c r="F307" s="22"/>
      <c r="G307" s="22"/>
      <c r="H307" s="22"/>
      <c r="I307" s="22"/>
    </row>
    <row r="308" spans="3:9" ht="15.75" customHeight="1" x14ac:dyDescent="0.2">
      <c r="C308" s="21"/>
      <c r="D308" s="22"/>
      <c r="E308" s="22"/>
      <c r="F308" s="22"/>
      <c r="G308" s="22"/>
      <c r="H308" s="22"/>
      <c r="I308" s="22"/>
    </row>
    <row r="309" spans="3:9" ht="15.75" customHeight="1" x14ac:dyDescent="0.2">
      <c r="C309" s="21"/>
      <c r="D309" s="22"/>
      <c r="E309" s="22"/>
      <c r="F309" s="22"/>
      <c r="G309" s="22"/>
      <c r="H309" s="22"/>
      <c r="I309" s="22"/>
    </row>
    <row r="310" spans="3:9" ht="15.75" customHeight="1" x14ac:dyDescent="0.2">
      <c r="C310" s="21"/>
      <c r="D310" s="22"/>
      <c r="E310" s="22"/>
      <c r="F310" s="22"/>
      <c r="G310" s="22"/>
      <c r="H310" s="22"/>
      <c r="I310" s="22"/>
    </row>
    <row r="311" spans="3:9" ht="15.75" customHeight="1" x14ac:dyDescent="0.2">
      <c r="C311" s="21"/>
      <c r="D311" s="22"/>
      <c r="E311" s="22"/>
      <c r="F311" s="22"/>
      <c r="G311" s="22"/>
      <c r="H311" s="22"/>
      <c r="I311" s="22"/>
    </row>
    <row r="312" spans="3:9" ht="15.75" customHeight="1" x14ac:dyDescent="0.2">
      <c r="C312" s="21"/>
      <c r="D312" s="22"/>
      <c r="E312" s="22"/>
      <c r="F312" s="22"/>
      <c r="G312" s="22"/>
      <c r="H312" s="22"/>
      <c r="I312" s="22"/>
    </row>
    <row r="313" spans="3:9" ht="15.75" customHeight="1" x14ac:dyDescent="0.2">
      <c r="C313" s="21"/>
      <c r="D313" s="22"/>
      <c r="E313" s="22"/>
      <c r="F313" s="22"/>
      <c r="G313" s="22"/>
      <c r="H313" s="22"/>
      <c r="I313" s="22"/>
    </row>
    <row r="314" spans="3:9" ht="15.75" customHeight="1" x14ac:dyDescent="0.2">
      <c r="C314" s="21"/>
      <c r="D314" s="22"/>
      <c r="E314" s="22"/>
      <c r="F314" s="22"/>
      <c r="G314" s="22"/>
      <c r="H314" s="22"/>
      <c r="I314" s="22"/>
    </row>
    <row r="315" spans="3:9" ht="15.75" customHeight="1" x14ac:dyDescent="0.2">
      <c r="C315" s="21"/>
      <c r="D315" s="22"/>
      <c r="E315" s="22"/>
      <c r="F315" s="22"/>
      <c r="G315" s="22"/>
      <c r="H315" s="22"/>
      <c r="I315" s="22"/>
    </row>
    <row r="316" spans="3:9" ht="15.75" customHeight="1" x14ac:dyDescent="0.2">
      <c r="C316" s="21"/>
      <c r="D316" s="22"/>
      <c r="E316" s="22"/>
      <c r="F316" s="22"/>
      <c r="G316" s="22"/>
      <c r="H316" s="22"/>
      <c r="I316" s="22"/>
    </row>
    <row r="317" spans="3:9" ht="15.75" customHeight="1" x14ac:dyDescent="0.2">
      <c r="C317" s="21"/>
      <c r="D317" s="22"/>
      <c r="E317" s="22"/>
      <c r="F317" s="22"/>
      <c r="G317" s="22"/>
      <c r="H317" s="22"/>
      <c r="I317" s="22"/>
    </row>
    <row r="318" spans="3:9" ht="15.75" customHeight="1" x14ac:dyDescent="0.2">
      <c r="C318" s="21"/>
      <c r="D318" s="22"/>
      <c r="E318" s="22"/>
      <c r="F318" s="22"/>
      <c r="G318" s="22"/>
      <c r="H318" s="22"/>
      <c r="I318" s="22"/>
    </row>
    <row r="319" spans="3:9" ht="15.75" customHeight="1" x14ac:dyDescent="0.2">
      <c r="C319" s="21"/>
      <c r="D319" s="22"/>
      <c r="E319" s="22"/>
      <c r="F319" s="22"/>
      <c r="G319" s="22"/>
      <c r="H319" s="22"/>
      <c r="I319" s="22"/>
    </row>
    <row r="320" spans="3:9" ht="15.75" customHeight="1" x14ac:dyDescent="0.2">
      <c r="C320" s="21"/>
      <c r="D320" s="22"/>
      <c r="E320" s="22"/>
      <c r="F320" s="22"/>
      <c r="G320" s="22"/>
      <c r="H320" s="22"/>
      <c r="I320" s="22"/>
    </row>
    <row r="321" spans="3:9" ht="15.75" customHeight="1" x14ac:dyDescent="0.2">
      <c r="C321" s="21"/>
      <c r="D321" s="22"/>
      <c r="E321" s="22"/>
      <c r="F321" s="22"/>
      <c r="G321" s="22"/>
      <c r="H321" s="22"/>
      <c r="I321" s="22"/>
    </row>
    <row r="322" spans="3:9" ht="15.75" customHeight="1" x14ac:dyDescent="0.2">
      <c r="C322" s="21"/>
      <c r="D322" s="22"/>
      <c r="E322" s="22"/>
      <c r="F322" s="22"/>
      <c r="G322" s="22"/>
      <c r="H322" s="22"/>
      <c r="I322" s="22"/>
    </row>
    <row r="323" spans="3:9" ht="15.75" customHeight="1" x14ac:dyDescent="0.2">
      <c r="C323" s="21"/>
      <c r="D323" s="22"/>
      <c r="E323" s="22"/>
      <c r="F323" s="22"/>
      <c r="G323" s="22"/>
      <c r="H323" s="22"/>
      <c r="I323" s="22"/>
    </row>
    <row r="324" spans="3:9" ht="15.75" customHeight="1" x14ac:dyDescent="0.2">
      <c r="C324" s="21"/>
      <c r="D324" s="22"/>
      <c r="E324" s="22"/>
      <c r="F324" s="22"/>
      <c r="G324" s="22"/>
      <c r="H324" s="22"/>
      <c r="I324" s="22"/>
    </row>
    <row r="325" spans="3:9" ht="15.75" customHeight="1" x14ac:dyDescent="0.2">
      <c r="C325" s="21"/>
      <c r="D325" s="22"/>
      <c r="E325" s="22"/>
      <c r="F325" s="22"/>
      <c r="G325" s="22"/>
      <c r="H325" s="22"/>
      <c r="I325" s="22"/>
    </row>
    <row r="326" spans="3:9" ht="15.75" customHeight="1" x14ac:dyDescent="0.2">
      <c r="C326" s="21"/>
      <c r="D326" s="22"/>
      <c r="E326" s="22"/>
      <c r="F326" s="22"/>
      <c r="G326" s="22"/>
      <c r="H326" s="22"/>
      <c r="I326" s="22"/>
    </row>
    <row r="327" spans="3:9" ht="15.75" customHeight="1" x14ac:dyDescent="0.2">
      <c r="C327" s="21"/>
      <c r="D327" s="22"/>
      <c r="E327" s="22"/>
      <c r="F327" s="22"/>
      <c r="G327" s="22"/>
      <c r="H327" s="22"/>
      <c r="I327" s="22"/>
    </row>
    <row r="328" spans="3:9" ht="15.75" customHeight="1" x14ac:dyDescent="0.2">
      <c r="C328" s="21"/>
      <c r="D328" s="22"/>
      <c r="E328" s="22"/>
      <c r="F328" s="22"/>
      <c r="G328" s="22"/>
      <c r="H328" s="22"/>
      <c r="I328" s="22"/>
    </row>
    <row r="329" spans="3:9" ht="15.75" customHeight="1" x14ac:dyDescent="0.2">
      <c r="C329" s="21"/>
      <c r="D329" s="22"/>
      <c r="E329" s="22"/>
      <c r="F329" s="22"/>
      <c r="G329" s="22"/>
      <c r="H329" s="22"/>
      <c r="I329" s="22"/>
    </row>
    <row r="330" spans="3:9" ht="15.75" customHeight="1" x14ac:dyDescent="0.2">
      <c r="C330" s="21"/>
      <c r="D330" s="22"/>
      <c r="E330" s="22"/>
      <c r="F330" s="22"/>
      <c r="G330" s="22"/>
      <c r="H330" s="22"/>
      <c r="I330" s="22"/>
    </row>
    <row r="331" spans="3:9" ht="15.75" customHeight="1" x14ac:dyDescent="0.2">
      <c r="C331" s="21"/>
      <c r="D331" s="22"/>
      <c r="E331" s="22"/>
      <c r="F331" s="22"/>
      <c r="G331" s="22"/>
      <c r="H331" s="22"/>
      <c r="I331" s="22"/>
    </row>
    <row r="332" spans="3:9" ht="15.75" customHeight="1" x14ac:dyDescent="0.2">
      <c r="C332" s="21"/>
      <c r="D332" s="22"/>
      <c r="E332" s="22"/>
      <c r="F332" s="22"/>
      <c r="G332" s="22"/>
      <c r="H332" s="22"/>
      <c r="I332" s="22"/>
    </row>
    <row r="333" spans="3:9" ht="15.75" customHeight="1" x14ac:dyDescent="0.2">
      <c r="C333" s="21"/>
      <c r="D333" s="22"/>
      <c r="E333" s="22"/>
      <c r="F333" s="22"/>
      <c r="G333" s="22"/>
      <c r="H333" s="22"/>
      <c r="I333" s="22"/>
    </row>
    <row r="334" spans="3:9" ht="15.75" customHeight="1" x14ac:dyDescent="0.2">
      <c r="C334" s="21"/>
      <c r="D334" s="22"/>
      <c r="E334" s="22"/>
      <c r="F334" s="22"/>
      <c r="G334" s="22"/>
      <c r="H334" s="22"/>
      <c r="I334" s="22"/>
    </row>
    <row r="335" spans="3:9" ht="15.75" customHeight="1" x14ac:dyDescent="0.2">
      <c r="C335" s="21"/>
      <c r="D335" s="22"/>
      <c r="E335" s="22"/>
      <c r="F335" s="22"/>
      <c r="G335" s="22"/>
      <c r="H335" s="22"/>
      <c r="I335" s="22"/>
    </row>
    <row r="336" spans="3:9" ht="15.75" customHeight="1" x14ac:dyDescent="0.2">
      <c r="C336" s="21"/>
      <c r="D336" s="22"/>
      <c r="E336" s="22"/>
      <c r="F336" s="22"/>
      <c r="G336" s="22"/>
      <c r="H336" s="22"/>
      <c r="I336" s="22"/>
    </row>
    <row r="337" spans="3:9" ht="15.75" customHeight="1" x14ac:dyDescent="0.2">
      <c r="C337" s="21"/>
      <c r="D337" s="22"/>
      <c r="E337" s="22"/>
      <c r="F337" s="22"/>
      <c r="G337" s="22"/>
      <c r="H337" s="22"/>
      <c r="I337" s="22"/>
    </row>
    <row r="338" spans="3:9" ht="15.75" customHeight="1" x14ac:dyDescent="0.2">
      <c r="C338" s="21"/>
      <c r="D338" s="22"/>
      <c r="E338" s="22"/>
      <c r="F338" s="22"/>
      <c r="G338" s="22"/>
      <c r="H338" s="22"/>
      <c r="I338" s="22"/>
    </row>
    <row r="339" spans="3:9" ht="15.75" customHeight="1" x14ac:dyDescent="0.2">
      <c r="C339" s="21"/>
      <c r="D339" s="22"/>
      <c r="E339" s="22"/>
      <c r="F339" s="22"/>
      <c r="G339" s="22"/>
      <c r="H339" s="22"/>
      <c r="I339" s="22"/>
    </row>
    <row r="340" spans="3:9" ht="15.75" customHeight="1" x14ac:dyDescent="0.2">
      <c r="C340" s="21"/>
      <c r="D340" s="22"/>
      <c r="E340" s="22"/>
      <c r="F340" s="22"/>
      <c r="G340" s="22"/>
      <c r="H340" s="22"/>
      <c r="I340" s="22"/>
    </row>
    <row r="341" spans="3:9" ht="15.75" customHeight="1" x14ac:dyDescent="0.2">
      <c r="C341" s="21"/>
      <c r="D341" s="22"/>
      <c r="E341" s="22"/>
      <c r="F341" s="22"/>
      <c r="G341" s="22"/>
      <c r="H341" s="22"/>
      <c r="I341" s="22"/>
    </row>
    <row r="342" spans="3:9" ht="15.75" customHeight="1" x14ac:dyDescent="0.2">
      <c r="C342" s="21"/>
      <c r="D342" s="22"/>
      <c r="E342" s="22"/>
      <c r="F342" s="22"/>
      <c r="G342" s="22"/>
      <c r="H342" s="22"/>
      <c r="I342" s="22"/>
    </row>
    <row r="343" spans="3:9" ht="15.75" customHeight="1" x14ac:dyDescent="0.2">
      <c r="C343" s="21"/>
      <c r="D343" s="22"/>
      <c r="E343" s="22"/>
      <c r="F343" s="22"/>
      <c r="G343" s="22"/>
      <c r="H343" s="22"/>
      <c r="I343" s="22"/>
    </row>
    <row r="344" spans="3:9" ht="15.75" customHeight="1" x14ac:dyDescent="0.2">
      <c r="C344" s="21"/>
      <c r="D344" s="22"/>
      <c r="E344" s="22"/>
      <c r="F344" s="22"/>
      <c r="G344" s="22"/>
      <c r="H344" s="22"/>
      <c r="I344" s="22"/>
    </row>
    <row r="345" spans="3:9" ht="15.75" customHeight="1" x14ac:dyDescent="0.2">
      <c r="C345" s="21"/>
      <c r="D345" s="22"/>
      <c r="E345" s="22"/>
      <c r="F345" s="22"/>
      <c r="G345" s="22"/>
      <c r="H345" s="22"/>
      <c r="I345" s="22"/>
    </row>
    <row r="346" spans="3:9" ht="15.75" customHeight="1" x14ac:dyDescent="0.2">
      <c r="C346" s="21"/>
      <c r="D346" s="22"/>
      <c r="E346" s="22"/>
      <c r="F346" s="22"/>
      <c r="G346" s="22"/>
      <c r="H346" s="22"/>
      <c r="I346" s="22"/>
    </row>
    <row r="347" spans="3:9" ht="15.75" customHeight="1" x14ac:dyDescent="0.2">
      <c r="C347" s="21"/>
      <c r="D347" s="22"/>
      <c r="E347" s="22"/>
      <c r="F347" s="22"/>
      <c r="G347" s="22"/>
      <c r="H347" s="22"/>
      <c r="I347" s="22"/>
    </row>
    <row r="348" spans="3:9" ht="15.75" customHeight="1" x14ac:dyDescent="0.2">
      <c r="C348" s="21"/>
      <c r="D348" s="22"/>
      <c r="E348" s="22"/>
      <c r="F348" s="22"/>
      <c r="G348" s="22"/>
      <c r="H348" s="22"/>
      <c r="I348" s="22"/>
    </row>
    <row r="349" spans="3:9" ht="15.75" customHeight="1" x14ac:dyDescent="0.2">
      <c r="C349" s="21"/>
      <c r="D349" s="22"/>
      <c r="E349" s="22"/>
      <c r="F349" s="22"/>
      <c r="G349" s="22"/>
      <c r="H349" s="22"/>
      <c r="I349" s="22"/>
    </row>
    <row r="350" spans="3:9" ht="15.75" customHeight="1" x14ac:dyDescent="0.2">
      <c r="C350" s="21"/>
      <c r="D350" s="22"/>
      <c r="E350" s="22"/>
      <c r="F350" s="22"/>
      <c r="G350" s="22"/>
      <c r="H350" s="22"/>
      <c r="I350" s="22"/>
    </row>
    <row r="351" spans="3:9" ht="15.75" customHeight="1" x14ac:dyDescent="0.2">
      <c r="C351" s="21"/>
      <c r="D351" s="22"/>
      <c r="E351" s="22"/>
      <c r="F351" s="22"/>
      <c r="G351" s="22"/>
      <c r="H351" s="22"/>
      <c r="I351" s="22"/>
    </row>
    <row r="352" spans="3:9" ht="15.75" customHeight="1" x14ac:dyDescent="0.2">
      <c r="C352" s="21"/>
      <c r="D352" s="22"/>
      <c r="E352" s="22"/>
      <c r="F352" s="22"/>
      <c r="G352" s="22"/>
      <c r="H352" s="22"/>
      <c r="I352" s="22"/>
    </row>
    <row r="353" spans="3:9" ht="15.75" customHeight="1" x14ac:dyDescent="0.2">
      <c r="C353" s="21"/>
      <c r="D353" s="22"/>
      <c r="E353" s="22"/>
      <c r="F353" s="22"/>
      <c r="G353" s="22"/>
      <c r="H353" s="22"/>
      <c r="I353" s="22"/>
    </row>
    <row r="354" spans="3:9" ht="15.75" customHeight="1" x14ac:dyDescent="0.2">
      <c r="C354" s="21"/>
      <c r="D354" s="22"/>
      <c r="E354" s="22"/>
      <c r="F354" s="22"/>
      <c r="G354" s="22"/>
      <c r="H354" s="22"/>
      <c r="I354" s="22"/>
    </row>
    <row r="355" spans="3:9" ht="15.75" customHeight="1" x14ac:dyDescent="0.2">
      <c r="C355" s="21"/>
      <c r="D355" s="22"/>
      <c r="E355" s="22"/>
      <c r="F355" s="22"/>
      <c r="G355" s="22"/>
      <c r="H355" s="22"/>
      <c r="I355" s="22"/>
    </row>
    <row r="356" spans="3:9" ht="15.75" customHeight="1" x14ac:dyDescent="0.2">
      <c r="C356" s="21"/>
      <c r="D356" s="22"/>
      <c r="E356" s="22"/>
      <c r="F356" s="22"/>
      <c r="G356" s="22"/>
      <c r="H356" s="22"/>
      <c r="I356" s="22"/>
    </row>
    <row r="357" spans="3:9" ht="15.75" customHeight="1" x14ac:dyDescent="0.2">
      <c r="C357" s="21"/>
      <c r="D357" s="22"/>
      <c r="E357" s="22"/>
      <c r="F357" s="22"/>
      <c r="G357" s="22"/>
      <c r="H357" s="22"/>
      <c r="I357" s="22"/>
    </row>
    <row r="358" spans="3:9" ht="15.75" customHeight="1" x14ac:dyDescent="0.2">
      <c r="C358" s="21"/>
      <c r="D358" s="22"/>
      <c r="E358" s="22"/>
      <c r="F358" s="22"/>
      <c r="G358" s="22"/>
      <c r="H358" s="22"/>
      <c r="I358" s="22"/>
    </row>
    <row r="359" spans="3:9" ht="15.75" customHeight="1" x14ac:dyDescent="0.2">
      <c r="C359" s="21"/>
      <c r="D359" s="22"/>
      <c r="E359" s="22"/>
      <c r="F359" s="22"/>
      <c r="G359" s="22"/>
      <c r="H359" s="22"/>
      <c r="I359" s="22"/>
    </row>
    <row r="360" spans="3:9" ht="15.75" customHeight="1" x14ac:dyDescent="0.2">
      <c r="C360" s="21"/>
      <c r="D360" s="22"/>
      <c r="E360" s="22"/>
      <c r="F360" s="22"/>
      <c r="G360" s="22"/>
      <c r="H360" s="22"/>
      <c r="I360" s="22"/>
    </row>
    <row r="361" spans="3:9" ht="15.75" customHeight="1" x14ac:dyDescent="0.2">
      <c r="C361" s="21"/>
      <c r="D361" s="22"/>
      <c r="E361" s="22"/>
      <c r="F361" s="22"/>
      <c r="G361" s="22"/>
      <c r="H361" s="22"/>
      <c r="I361" s="22"/>
    </row>
    <row r="362" spans="3:9" ht="15.75" customHeight="1" x14ac:dyDescent="0.2">
      <c r="C362" s="21"/>
      <c r="D362" s="22"/>
      <c r="E362" s="22"/>
      <c r="F362" s="22"/>
      <c r="G362" s="22"/>
      <c r="H362" s="22"/>
      <c r="I362" s="22"/>
    </row>
    <row r="363" spans="3:9" ht="15.75" customHeight="1" x14ac:dyDescent="0.2">
      <c r="C363" s="21"/>
      <c r="D363" s="22"/>
      <c r="E363" s="22"/>
      <c r="F363" s="22"/>
      <c r="G363" s="22"/>
      <c r="H363" s="22"/>
      <c r="I363" s="22"/>
    </row>
    <row r="364" spans="3:9" ht="15.75" customHeight="1" x14ac:dyDescent="0.2">
      <c r="C364" s="21"/>
      <c r="D364" s="22"/>
      <c r="E364" s="22"/>
      <c r="F364" s="22"/>
      <c r="G364" s="22"/>
      <c r="H364" s="22"/>
      <c r="I364" s="22"/>
    </row>
    <row r="365" spans="3:9" ht="15.75" customHeight="1" x14ac:dyDescent="0.2">
      <c r="C365" s="21"/>
      <c r="D365" s="22"/>
      <c r="E365" s="22"/>
      <c r="F365" s="22"/>
      <c r="G365" s="22"/>
      <c r="H365" s="22"/>
      <c r="I365" s="22"/>
    </row>
    <row r="366" spans="3:9" ht="15.75" customHeight="1" x14ac:dyDescent="0.2">
      <c r="C366" s="21"/>
      <c r="D366" s="22"/>
      <c r="E366" s="22"/>
      <c r="F366" s="22"/>
      <c r="G366" s="22"/>
      <c r="H366" s="22"/>
      <c r="I366" s="22"/>
    </row>
    <row r="367" spans="3:9" ht="15.75" customHeight="1" x14ac:dyDescent="0.2">
      <c r="C367" s="21"/>
      <c r="D367" s="22"/>
      <c r="E367" s="22"/>
      <c r="F367" s="22"/>
      <c r="G367" s="22"/>
      <c r="H367" s="22"/>
      <c r="I367" s="22"/>
    </row>
    <row r="368" spans="3:9" ht="15.75" customHeight="1" x14ac:dyDescent="0.2">
      <c r="C368" s="21"/>
      <c r="D368" s="22"/>
      <c r="E368" s="22"/>
      <c r="F368" s="22"/>
      <c r="G368" s="22"/>
      <c r="H368" s="22"/>
      <c r="I368" s="22"/>
    </row>
    <row r="369" spans="3:9" ht="15.75" customHeight="1" x14ac:dyDescent="0.2">
      <c r="C369" s="21"/>
      <c r="D369" s="22"/>
      <c r="E369" s="22"/>
      <c r="F369" s="22"/>
      <c r="G369" s="22"/>
      <c r="H369" s="22"/>
      <c r="I369" s="22"/>
    </row>
    <row r="370" spans="3:9" ht="15.75" customHeight="1" x14ac:dyDescent="0.2">
      <c r="C370" s="21"/>
      <c r="D370" s="22"/>
      <c r="E370" s="22"/>
      <c r="F370" s="22"/>
      <c r="G370" s="22"/>
      <c r="H370" s="22"/>
      <c r="I370" s="22"/>
    </row>
    <row r="371" spans="3:9" ht="15.75" customHeight="1" x14ac:dyDescent="0.2">
      <c r="C371" s="21"/>
      <c r="D371" s="22"/>
      <c r="E371" s="22"/>
      <c r="F371" s="22"/>
      <c r="G371" s="22"/>
      <c r="H371" s="22"/>
      <c r="I371" s="22"/>
    </row>
    <row r="372" spans="3:9" ht="15.75" customHeight="1" x14ac:dyDescent="0.2">
      <c r="C372" s="21"/>
      <c r="D372" s="22"/>
      <c r="E372" s="22"/>
      <c r="F372" s="22"/>
      <c r="G372" s="22"/>
      <c r="H372" s="22"/>
      <c r="I372" s="22"/>
    </row>
    <row r="373" spans="3:9" ht="15.75" customHeight="1" x14ac:dyDescent="0.2">
      <c r="C373" s="21"/>
      <c r="D373" s="22"/>
      <c r="E373" s="22"/>
      <c r="F373" s="22"/>
      <c r="G373" s="22"/>
      <c r="H373" s="22"/>
      <c r="I373" s="22"/>
    </row>
    <row r="374" spans="3:9" ht="15.75" customHeight="1" x14ac:dyDescent="0.2">
      <c r="C374" s="21"/>
      <c r="D374" s="22"/>
      <c r="E374" s="22"/>
      <c r="F374" s="22"/>
      <c r="G374" s="22"/>
      <c r="H374" s="22"/>
      <c r="I374" s="22"/>
    </row>
    <row r="375" spans="3:9" ht="15.75" customHeight="1" x14ac:dyDescent="0.2">
      <c r="C375" s="21"/>
      <c r="D375" s="22"/>
      <c r="E375" s="22"/>
      <c r="F375" s="22"/>
      <c r="G375" s="22"/>
      <c r="H375" s="22"/>
      <c r="I375" s="22"/>
    </row>
    <row r="376" spans="3:9" ht="15.75" customHeight="1" x14ac:dyDescent="0.2">
      <c r="C376" s="21"/>
      <c r="D376" s="22"/>
      <c r="E376" s="22"/>
      <c r="F376" s="22"/>
      <c r="G376" s="22"/>
      <c r="H376" s="22"/>
      <c r="I376" s="22"/>
    </row>
    <row r="377" spans="3:9" ht="15.75" customHeight="1" x14ac:dyDescent="0.2">
      <c r="C377" s="21"/>
      <c r="D377" s="22"/>
      <c r="E377" s="22"/>
      <c r="F377" s="22"/>
      <c r="G377" s="22"/>
      <c r="H377" s="22"/>
      <c r="I377" s="22"/>
    </row>
    <row r="378" spans="3:9" ht="15.75" customHeight="1" x14ac:dyDescent="0.2">
      <c r="C378" s="21"/>
      <c r="D378" s="22"/>
      <c r="E378" s="22"/>
      <c r="F378" s="22"/>
      <c r="G378" s="22"/>
      <c r="H378" s="22"/>
      <c r="I378" s="22"/>
    </row>
    <row r="379" spans="3:9" ht="15.75" customHeight="1" x14ac:dyDescent="0.2">
      <c r="C379" s="21"/>
      <c r="D379" s="22"/>
      <c r="E379" s="22"/>
      <c r="F379" s="22"/>
      <c r="G379" s="22"/>
      <c r="H379" s="22"/>
      <c r="I379" s="22"/>
    </row>
    <row r="380" spans="3:9" ht="15.75" customHeight="1" x14ac:dyDescent="0.2">
      <c r="C380" s="21"/>
      <c r="D380" s="22"/>
      <c r="E380" s="22"/>
      <c r="F380" s="22"/>
      <c r="G380" s="22"/>
      <c r="H380" s="22"/>
      <c r="I380" s="22"/>
    </row>
    <row r="381" spans="3:9" ht="15.75" customHeight="1" x14ac:dyDescent="0.2">
      <c r="C381" s="21"/>
      <c r="D381" s="22"/>
      <c r="E381" s="22"/>
      <c r="F381" s="22"/>
      <c r="G381" s="22"/>
      <c r="H381" s="22"/>
      <c r="I381" s="22"/>
    </row>
    <row r="382" spans="3:9" ht="15.75" customHeight="1" x14ac:dyDescent="0.2">
      <c r="C382" s="21"/>
      <c r="D382" s="22"/>
      <c r="E382" s="22"/>
      <c r="F382" s="22"/>
      <c r="G382" s="22"/>
      <c r="H382" s="22"/>
      <c r="I382" s="22"/>
    </row>
    <row r="383" spans="3:9" ht="15.75" customHeight="1" x14ac:dyDescent="0.2">
      <c r="C383" s="21"/>
      <c r="D383" s="22"/>
      <c r="E383" s="22"/>
      <c r="F383" s="22"/>
      <c r="G383" s="22"/>
      <c r="H383" s="22"/>
      <c r="I383" s="22"/>
    </row>
    <row r="384" spans="3:9" ht="15.75" customHeight="1" x14ac:dyDescent="0.2">
      <c r="C384" s="21"/>
      <c r="D384" s="22"/>
      <c r="E384" s="22"/>
      <c r="F384" s="22"/>
      <c r="G384" s="22"/>
      <c r="H384" s="22"/>
      <c r="I384" s="22"/>
    </row>
    <row r="385" spans="3:9" ht="15.75" customHeight="1" x14ac:dyDescent="0.2">
      <c r="C385" s="21"/>
      <c r="D385" s="22"/>
      <c r="E385" s="22"/>
      <c r="F385" s="22"/>
      <c r="G385" s="22"/>
      <c r="H385" s="22"/>
      <c r="I385" s="22"/>
    </row>
    <row r="386" spans="3:9" ht="15.75" customHeight="1" x14ac:dyDescent="0.2">
      <c r="C386" s="21"/>
      <c r="D386" s="22"/>
      <c r="E386" s="22"/>
      <c r="F386" s="22"/>
      <c r="G386" s="22"/>
      <c r="H386" s="22"/>
      <c r="I386" s="22"/>
    </row>
    <row r="387" spans="3:9" ht="15.75" customHeight="1" x14ac:dyDescent="0.2">
      <c r="C387" s="21"/>
      <c r="D387" s="22"/>
      <c r="E387" s="22"/>
      <c r="F387" s="22"/>
      <c r="G387" s="22"/>
      <c r="H387" s="22"/>
      <c r="I387" s="22"/>
    </row>
    <row r="388" spans="3:9" ht="15.75" customHeight="1" x14ac:dyDescent="0.2">
      <c r="C388" s="21"/>
      <c r="D388" s="22"/>
      <c r="E388" s="22"/>
      <c r="F388" s="22"/>
      <c r="G388" s="22"/>
      <c r="H388" s="22"/>
      <c r="I388" s="22"/>
    </row>
    <row r="389" spans="3:9" ht="15.75" customHeight="1" x14ac:dyDescent="0.2">
      <c r="C389" s="21"/>
      <c r="D389" s="22"/>
      <c r="E389" s="22"/>
      <c r="F389" s="22"/>
      <c r="G389" s="22"/>
      <c r="H389" s="22"/>
      <c r="I389" s="22"/>
    </row>
    <row r="390" spans="3:9" ht="15.75" customHeight="1" x14ac:dyDescent="0.2">
      <c r="C390" s="21"/>
      <c r="D390" s="22"/>
      <c r="E390" s="22"/>
      <c r="F390" s="22"/>
      <c r="G390" s="22"/>
      <c r="H390" s="22"/>
      <c r="I390" s="22"/>
    </row>
    <row r="391" spans="3:9" ht="15.75" customHeight="1" x14ac:dyDescent="0.2">
      <c r="C391" s="21"/>
      <c r="D391" s="22"/>
      <c r="E391" s="22"/>
      <c r="F391" s="22"/>
      <c r="G391" s="22"/>
      <c r="H391" s="22"/>
      <c r="I391" s="22"/>
    </row>
    <row r="392" spans="3:9" ht="15.75" customHeight="1" x14ac:dyDescent="0.2">
      <c r="C392" s="21"/>
      <c r="D392" s="22"/>
      <c r="E392" s="22"/>
      <c r="F392" s="22"/>
      <c r="G392" s="22"/>
      <c r="H392" s="22"/>
      <c r="I392" s="22"/>
    </row>
    <row r="393" spans="3:9" ht="15.75" customHeight="1" x14ac:dyDescent="0.2">
      <c r="C393" s="21"/>
      <c r="D393" s="22"/>
      <c r="E393" s="22"/>
      <c r="F393" s="22"/>
      <c r="G393" s="22"/>
      <c r="H393" s="22"/>
      <c r="I393" s="22"/>
    </row>
    <row r="394" spans="3:9" ht="15.75" customHeight="1" x14ac:dyDescent="0.2">
      <c r="C394" s="21"/>
      <c r="D394" s="22"/>
      <c r="E394" s="22"/>
      <c r="F394" s="22"/>
      <c r="G394" s="22"/>
      <c r="H394" s="22"/>
      <c r="I394" s="22"/>
    </row>
    <row r="395" spans="3:9" ht="15.75" customHeight="1" x14ac:dyDescent="0.2">
      <c r="C395" s="21"/>
      <c r="D395" s="22"/>
      <c r="E395" s="22"/>
      <c r="F395" s="22"/>
      <c r="G395" s="22"/>
      <c r="H395" s="22"/>
      <c r="I395" s="22"/>
    </row>
    <row r="396" spans="3:9" ht="15.75" customHeight="1" x14ac:dyDescent="0.2">
      <c r="C396" s="21"/>
      <c r="D396" s="22"/>
      <c r="E396" s="22"/>
      <c r="F396" s="22"/>
      <c r="G396" s="22"/>
      <c r="H396" s="22"/>
      <c r="I396" s="22"/>
    </row>
    <row r="397" spans="3:9" ht="15.75" customHeight="1" x14ac:dyDescent="0.2">
      <c r="C397" s="21"/>
      <c r="D397" s="22"/>
      <c r="E397" s="22"/>
      <c r="F397" s="22"/>
      <c r="G397" s="22"/>
      <c r="H397" s="22"/>
      <c r="I397" s="22"/>
    </row>
    <row r="398" spans="3:9" ht="15.75" customHeight="1" x14ac:dyDescent="0.2">
      <c r="C398" s="21"/>
      <c r="D398" s="22"/>
      <c r="E398" s="22"/>
      <c r="F398" s="22"/>
      <c r="G398" s="22"/>
      <c r="H398" s="22"/>
      <c r="I398" s="22"/>
    </row>
    <row r="399" spans="3:9" ht="15.75" customHeight="1" x14ac:dyDescent="0.2">
      <c r="C399" s="21"/>
      <c r="D399" s="22"/>
      <c r="E399" s="22"/>
      <c r="F399" s="22"/>
      <c r="G399" s="22"/>
      <c r="H399" s="22"/>
      <c r="I399" s="22"/>
    </row>
    <row r="400" spans="3:9" ht="15.75" customHeight="1" x14ac:dyDescent="0.2">
      <c r="C400" s="21"/>
      <c r="D400" s="22"/>
      <c r="E400" s="22"/>
      <c r="F400" s="22"/>
      <c r="G400" s="22"/>
      <c r="H400" s="22"/>
      <c r="I400" s="22"/>
    </row>
    <row r="401" spans="3:9" ht="15.75" customHeight="1" x14ac:dyDescent="0.2">
      <c r="C401" s="21"/>
      <c r="D401" s="22"/>
      <c r="E401" s="22"/>
      <c r="F401" s="22"/>
      <c r="G401" s="22"/>
      <c r="H401" s="22"/>
      <c r="I401" s="22"/>
    </row>
    <row r="402" spans="3:9" ht="15.75" customHeight="1" x14ac:dyDescent="0.2">
      <c r="C402" s="21"/>
      <c r="D402" s="22"/>
      <c r="E402" s="22"/>
      <c r="F402" s="22"/>
      <c r="G402" s="22"/>
      <c r="H402" s="22"/>
      <c r="I402" s="22"/>
    </row>
    <row r="403" spans="3:9" ht="15.75" customHeight="1" x14ac:dyDescent="0.2">
      <c r="C403" s="21"/>
      <c r="D403" s="22"/>
      <c r="E403" s="22"/>
      <c r="F403" s="22"/>
      <c r="G403" s="22"/>
      <c r="H403" s="22"/>
      <c r="I403" s="22"/>
    </row>
    <row r="404" spans="3:9" ht="15.75" customHeight="1" x14ac:dyDescent="0.2">
      <c r="C404" s="21"/>
      <c r="D404" s="22"/>
      <c r="E404" s="22"/>
      <c r="F404" s="22"/>
      <c r="G404" s="22"/>
      <c r="H404" s="22"/>
      <c r="I404" s="22"/>
    </row>
    <row r="405" spans="3:9" ht="15.75" customHeight="1" x14ac:dyDescent="0.2">
      <c r="C405" s="21"/>
      <c r="D405" s="22"/>
      <c r="E405" s="22"/>
      <c r="F405" s="22"/>
      <c r="G405" s="22"/>
      <c r="H405" s="22"/>
      <c r="I405" s="22"/>
    </row>
    <row r="406" spans="3:9" ht="15.75" customHeight="1" x14ac:dyDescent="0.2">
      <c r="C406" s="21"/>
      <c r="D406" s="22"/>
      <c r="E406" s="22"/>
      <c r="F406" s="22"/>
      <c r="G406" s="22"/>
      <c r="H406" s="22"/>
      <c r="I406" s="22"/>
    </row>
    <row r="407" spans="3:9" ht="15.75" customHeight="1" x14ac:dyDescent="0.2">
      <c r="C407" s="21"/>
      <c r="D407" s="22"/>
      <c r="E407" s="22"/>
      <c r="F407" s="22"/>
      <c r="G407" s="22"/>
      <c r="H407" s="22"/>
      <c r="I407" s="22"/>
    </row>
    <row r="408" spans="3:9" ht="15.75" customHeight="1" x14ac:dyDescent="0.2">
      <c r="C408" s="21"/>
      <c r="D408" s="22"/>
      <c r="E408" s="22"/>
      <c r="F408" s="22"/>
      <c r="G408" s="22"/>
      <c r="H408" s="22"/>
      <c r="I408" s="22"/>
    </row>
    <row r="409" spans="3:9" ht="15.75" customHeight="1" x14ac:dyDescent="0.2">
      <c r="C409" s="21"/>
      <c r="D409" s="22"/>
      <c r="E409" s="22"/>
      <c r="F409" s="22"/>
      <c r="G409" s="22"/>
      <c r="H409" s="22"/>
      <c r="I409" s="22"/>
    </row>
    <row r="410" spans="3:9" ht="15.75" customHeight="1" x14ac:dyDescent="0.2">
      <c r="C410" s="21"/>
      <c r="D410" s="22"/>
      <c r="E410" s="22"/>
      <c r="F410" s="22"/>
      <c r="G410" s="22"/>
      <c r="H410" s="22"/>
      <c r="I410" s="22"/>
    </row>
    <row r="411" spans="3:9" ht="15.75" customHeight="1" x14ac:dyDescent="0.2">
      <c r="C411" s="21"/>
      <c r="D411" s="22"/>
      <c r="E411" s="22"/>
      <c r="F411" s="22"/>
      <c r="G411" s="22"/>
      <c r="H411" s="22"/>
      <c r="I411" s="22"/>
    </row>
    <row r="412" spans="3:9" ht="15.75" customHeight="1" x14ac:dyDescent="0.2">
      <c r="C412" s="21"/>
      <c r="D412" s="22"/>
      <c r="E412" s="22"/>
      <c r="F412" s="22"/>
      <c r="G412" s="22"/>
      <c r="H412" s="22"/>
      <c r="I412" s="22"/>
    </row>
    <row r="413" spans="3:9" ht="15.75" customHeight="1" x14ac:dyDescent="0.2">
      <c r="C413" s="21"/>
      <c r="D413" s="22"/>
      <c r="E413" s="22"/>
      <c r="F413" s="22"/>
      <c r="G413" s="22"/>
      <c r="H413" s="22"/>
      <c r="I413" s="22"/>
    </row>
    <row r="414" spans="3:9" ht="15.75" customHeight="1" x14ac:dyDescent="0.2">
      <c r="C414" s="21"/>
      <c r="D414" s="22"/>
      <c r="E414" s="22"/>
      <c r="F414" s="22"/>
      <c r="G414" s="22"/>
      <c r="H414" s="22"/>
      <c r="I414" s="22"/>
    </row>
    <row r="415" spans="3:9" ht="15.75" customHeight="1" x14ac:dyDescent="0.2">
      <c r="C415" s="21"/>
      <c r="D415" s="22"/>
      <c r="E415" s="22"/>
      <c r="F415" s="22"/>
      <c r="G415" s="22"/>
      <c r="H415" s="22"/>
      <c r="I415" s="22"/>
    </row>
    <row r="416" spans="3:9" ht="15.75" customHeight="1" x14ac:dyDescent="0.2">
      <c r="C416" s="21"/>
      <c r="D416" s="22"/>
      <c r="E416" s="22"/>
      <c r="F416" s="22"/>
      <c r="G416" s="22"/>
      <c r="H416" s="22"/>
      <c r="I416" s="22"/>
    </row>
    <row r="417" spans="3:9" ht="15.75" customHeight="1" x14ac:dyDescent="0.2">
      <c r="C417" s="21"/>
      <c r="D417" s="22"/>
      <c r="E417" s="22"/>
      <c r="F417" s="22"/>
      <c r="G417" s="22"/>
      <c r="H417" s="22"/>
      <c r="I417" s="22"/>
    </row>
    <row r="418" spans="3:9" ht="15.75" customHeight="1" x14ac:dyDescent="0.2">
      <c r="C418" s="21"/>
      <c r="D418" s="22"/>
      <c r="E418" s="22"/>
      <c r="F418" s="22"/>
      <c r="G418" s="22"/>
      <c r="H418" s="22"/>
      <c r="I418" s="22"/>
    </row>
    <row r="419" spans="3:9" ht="15.75" customHeight="1" x14ac:dyDescent="0.2">
      <c r="C419" s="21"/>
      <c r="D419" s="22"/>
      <c r="E419" s="22"/>
      <c r="F419" s="22"/>
      <c r="G419" s="22"/>
      <c r="H419" s="22"/>
      <c r="I419" s="22"/>
    </row>
    <row r="420" spans="3:9" ht="15.75" customHeight="1" x14ac:dyDescent="0.2">
      <c r="C420" s="21"/>
      <c r="D420" s="22"/>
      <c r="E420" s="22"/>
      <c r="F420" s="22"/>
      <c r="G420" s="22"/>
      <c r="H420" s="22"/>
      <c r="I420" s="22"/>
    </row>
    <row r="421" spans="3:9" ht="15.75" customHeight="1" x14ac:dyDescent="0.2">
      <c r="C421" s="21"/>
      <c r="D421" s="22"/>
      <c r="E421" s="22"/>
      <c r="F421" s="22"/>
      <c r="G421" s="22"/>
      <c r="H421" s="22"/>
      <c r="I421" s="22"/>
    </row>
    <row r="422" spans="3:9" ht="15.75" customHeight="1" x14ac:dyDescent="0.2">
      <c r="C422" s="21"/>
      <c r="D422" s="22"/>
      <c r="E422" s="22"/>
      <c r="F422" s="22"/>
      <c r="G422" s="22"/>
      <c r="H422" s="22"/>
      <c r="I422" s="22"/>
    </row>
    <row r="423" spans="3:9" ht="15.75" customHeight="1" x14ac:dyDescent="0.2">
      <c r="C423" s="21"/>
      <c r="D423" s="22"/>
      <c r="E423" s="22"/>
      <c r="F423" s="22"/>
      <c r="G423" s="22"/>
      <c r="H423" s="22"/>
      <c r="I423" s="22"/>
    </row>
    <row r="424" spans="3:9" ht="15.75" customHeight="1" x14ac:dyDescent="0.2">
      <c r="C424" s="21"/>
      <c r="D424" s="22"/>
      <c r="E424" s="22"/>
      <c r="F424" s="22"/>
      <c r="G424" s="22"/>
      <c r="H424" s="22"/>
      <c r="I424" s="22"/>
    </row>
    <row r="425" spans="3:9" ht="15.75" customHeight="1" x14ac:dyDescent="0.2">
      <c r="C425" s="21"/>
      <c r="D425" s="22"/>
      <c r="E425" s="22"/>
      <c r="F425" s="22"/>
      <c r="G425" s="22"/>
      <c r="H425" s="22"/>
      <c r="I425" s="22"/>
    </row>
    <row r="426" spans="3:9" ht="15.75" customHeight="1" x14ac:dyDescent="0.2">
      <c r="C426" s="21"/>
      <c r="D426" s="22"/>
      <c r="E426" s="22"/>
      <c r="F426" s="22"/>
      <c r="G426" s="22"/>
      <c r="H426" s="22"/>
      <c r="I426" s="22"/>
    </row>
    <row r="427" spans="3:9" ht="15.75" customHeight="1" x14ac:dyDescent="0.2">
      <c r="C427" s="21"/>
      <c r="D427" s="22"/>
      <c r="E427" s="22"/>
      <c r="F427" s="22"/>
      <c r="G427" s="22"/>
      <c r="H427" s="22"/>
      <c r="I427" s="22"/>
    </row>
    <row r="428" spans="3:9" ht="15.75" customHeight="1" x14ac:dyDescent="0.2">
      <c r="C428" s="21"/>
      <c r="D428" s="22"/>
      <c r="E428" s="22"/>
      <c r="F428" s="22"/>
      <c r="G428" s="22"/>
      <c r="H428" s="22"/>
      <c r="I428" s="22"/>
    </row>
    <row r="429" spans="3:9" ht="15.75" customHeight="1" x14ac:dyDescent="0.2">
      <c r="C429" s="21"/>
      <c r="D429" s="22"/>
      <c r="E429" s="22"/>
      <c r="F429" s="22"/>
      <c r="G429" s="22"/>
      <c r="H429" s="22"/>
      <c r="I429" s="22"/>
    </row>
    <row r="430" spans="3:9" ht="15.75" customHeight="1" x14ac:dyDescent="0.2">
      <c r="C430" s="21"/>
      <c r="D430" s="22"/>
      <c r="E430" s="22"/>
      <c r="F430" s="22"/>
      <c r="G430" s="22"/>
      <c r="H430" s="22"/>
      <c r="I430" s="22"/>
    </row>
    <row r="431" spans="3:9" ht="15.75" customHeight="1" x14ac:dyDescent="0.2">
      <c r="C431" s="21"/>
      <c r="D431" s="22"/>
      <c r="E431" s="22"/>
      <c r="F431" s="22"/>
      <c r="G431" s="22"/>
      <c r="H431" s="22"/>
      <c r="I431" s="22"/>
    </row>
    <row r="432" spans="3:9" ht="15.75" customHeight="1" x14ac:dyDescent="0.2">
      <c r="C432" s="21"/>
      <c r="D432" s="22"/>
      <c r="E432" s="22"/>
      <c r="F432" s="22"/>
      <c r="G432" s="22"/>
      <c r="H432" s="22"/>
      <c r="I432" s="22"/>
    </row>
    <row r="433" spans="3:9" ht="15.75" customHeight="1" x14ac:dyDescent="0.2">
      <c r="C433" s="21"/>
      <c r="D433" s="22"/>
      <c r="E433" s="22"/>
      <c r="F433" s="22"/>
      <c r="G433" s="22"/>
      <c r="H433" s="22"/>
      <c r="I433" s="22"/>
    </row>
    <row r="434" spans="3:9" ht="15.75" customHeight="1" x14ac:dyDescent="0.2">
      <c r="C434" s="21"/>
      <c r="D434" s="22"/>
      <c r="E434" s="22"/>
      <c r="F434" s="22"/>
      <c r="G434" s="22"/>
      <c r="H434" s="22"/>
      <c r="I434" s="22"/>
    </row>
    <row r="435" spans="3:9" ht="15.75" customHeight="1" x14ac:dyDescent="0.2">
      <c r="C435" s="21"/>
      <c r="D435" s="22"/>
      <c r="E435" s="22"/>
      <c r="F435" s="22"/>
      <c r="G435" s="22"/>
      <c r="H435" s="22"/>
      <c r="I435" s="22"/>
    </row>
    <row r="436" spans="3:9" ht="15.75" customHeight="1" x14ac:dyDescent="0.2">
      <c r="C436" s="21"/>
      <c r="D436" s="22"/>
      <c r="E436" s="22"/>
      <c r="F436" s="22"/>
      <c r="G436" s="22"/>
      <c r="H436" s="22"/>
      <c r="I436" s="22"/>
    </row>
    <row r="437" spans="3:9" ht="15.75" customHeight="1" x14ac:dyDescent="0.2">
      <c r="C437" s="21"/>
      <c r="D437" s="22"/>
      <c r="E437" s="22"/>
      <c r="F437" s="22"/>
      <c r="G437" s="22"/>
      <c r="H437" s="22"/>
      <c r="I437" s="22"/>
    </row>
    <row r="438" spans="3:9" ht="15.75" customHeight="1" x14ac:dyDescent="0.2">
      <c r="C438" s="21"/>
      <c r="D438" s="22"/>
      <c r="E438" s="22"/>
      <c r="F438" s="22"/>
      <c r="G438" s="22"/>
      <c r="H438" s="22"/>
      <c r="I438" s="22"/>
    </row>
    <row r="439" spans="3:9" ht="15.75" customHeight="1" x14ac:dyDescent="0.2">
      <c r="C439" s="21"/>
      <c r="D439" s="22"/>
      <c r="E439" s="22"/>
      <c r="F439" s="22"/>
      <c r="G439" s="22"/>
      <c r="H439" s="22"/>
      <c r="I439" s="22"/>
    </row>
    <row r="440" spans="3:9" ht="15.75" customHeight="1" x14ac:dyDescent="0.2">
      <c r="C440" s="21"/>
      <c r="D440" s="22"/>
      <c r="E440" s="22"/>
      <c r="F440" s="22"/>
      <c r="G440" s="22"/>
      <c r="H440" s="22"/>
      <c r="I440" s="22"/>
    </row>
    <row r="441" spans="3:9" ht="15.75" customHeight="1" x14ac:dyDescent="0.2">
      <c r="C441" s="21"/>
      <c r="D441" s="22"/>
      <c r="E441" s="22"/>
      <c r="F441" s="22"/>
      <c r="G441" s="22"/>
      <c r="H441" s="22"/>
      <c r="I441" s="22"/>
    </row>
    <row r="442" spans="3:9" ht="15.75" customHeight="1" x14ac:dyDescent="0.2">
      <c r="C442" s="21"/>
      <c r="D442" s="22"/>
      <c r="E442" s="22"/>
      <c r="F442" s="22"/>
      <c r="G442" s="22"/>
      <c r="H442" s="22"/>
      <c r="I442" s="22"/>
    </row>
    <row r="443" spans="3:9" ht="15.75" customHeight="1" x14ac:dyDescent="0.2">
      <c r="C443" s="21"/>
      <c r="D443" s="22"/>
      <c r="E443" s="22"/>
      <c r="F443" s="22"/>
      <c r="G443" s="22"/>
      <c r="H443" s="22"/>
      <c r="I443" s="22"/>
    </row>
    <row r="444" spans="3:9" ht="15.75" customHeight="1" x14ac:dyDescent="0.2">
      <c r="C444" s="21"/>
      <c r="D444" s="22"/>
      <c r="E444" s="22"/>
      <c r="F444" s="22"/>
      <c r="G444" s="22"/>
      <c r="H444" s="22"/>
      <c r="I444" s="22"/>
    </row>
    <row r="445" spans="3:9" ht="15.75" customHeight="1" x14ac:dyDescent="0.2">
      <c r="C445" s="21"/>
      <c r="D445" s="22"/>
      <c r="E445" s="22"/>
      <c r="F445" s="22"/>
      <c r="G445" s="22"/>
      <c r="H445" s="22"/>
      <c r="I445" s="22"/>
    </row>
    <row r="446" spans="3:9" ht="15.75" customHeight="1" x14ac:dyDescent="0.2">
      <c r="C446" s="21"/>
      <c r="D446" s="22"/>
      <c r="E446" s="22"/>
      <c r="F446" s="22"/>
      <c r="G446" s="22"/>
      <c r="H446" s="22"/>
      <c r="I446" s="22"/>
    </row>
    <row r="447" spans="3:9" ht="15.75" customHeight="1" x14ac:dyDescent="0.2">
      <c r="C447" s="21"/>
      <c r="D447" s="22"/>
      <c r="E447" s="22"/>
      <c r="F447" s="22"/>
      <c r="G447" s="22"/>
      <c r="H447" s="22"/>
      <c r="I447" s="22"/>
    </row>
    <row r="448" spans="3:9" ht="15.75" customHeight="1" x14ac:dyDescent="0.2">
      <c r="C448" s="21"/>
      <c r="D448" s="22"/>
      <c r="E448" s="22"/>
      <c r="F448" s="22"/>
      <c r="G448" s="22"/>
      <c r="H448" s="22"/>
      <c r="I448" s="22"/>
    </row>
    <row r="449" spans="3:9" ht="15.75" customHeight="1" x14ac:dyDescent="0.2">
      <c r="C449" s="21"/>
      <c r="D449" s="22"/>
      <c r="E449" s="22"/>
      <c r="F449" s="22"/>
      <c r="G449" s="22"/>
      <c r="H449" s="22"/>
      <c r="I449" s="22"/>
    </row>
    <row r="450" spans="3:9" ht="15.75" customHeight="1" x14ac:dyDescent="0.2">
      <c r="C450" s="21"/>
      <c r="D450" s="22"/>
      <c r="E450" s="22"/>
      <c r="F450" s="22"/>
      <c r="G450" s="22"/>
      <c r="H450" s="22"/>
      <c r="I450" s="22"/>
    </row>
    <row r="451" spans="3:9" ht="15.75" customHeight="1" x14ac:dyDescent="0.2">
      <c r="C451" s="21"/>
      <c r="D451" s="22"/>
      <c r="E451" s="22"/>
      <c r="F451" s="22"/>
      <c r="G451" s="22"/>
      <c r="H451" s="22"/>
      <c r="I451" s="22"/>
    </row>
    <row r="452" spans="3:9" ht="15.75" customHeight="1" x14ac:dyDescent="0.2">
      <c r="C452" s="21"/>
      <c r="D452" s="22"/>
      <c r="E452" s="22"/>
      <c r="F452" s="22"/>
      <c r="G452" s="22"/>
      <c r="H452" s="22"/>
      <c r="I452" s="22"/>
    </row>
    <row r="453" spans="3:9" ht="15.75" customHeight="1" x14ac:dyDescent="0.2">
      <c r="C453" s="21"/>
      <c r="D453" s="22"/>
      <c r="E453" s="22"/>
      <c r="F453" s="22"/>
      <c r="G453" s="22"/>
      <c r="H453" s="22"/>
      <c r="I453" s="22"/>
    </row>
    <row r="454" spans="3:9" ht="15.75" customHeight="1" x14ac:dyDescent="0.2">
      <c r="C454" s="21"/>
      <c r="D454" s="22"/>
      <c r="E454" s="22"/>
      <c r="F454" s="22"/>
      <c r="G454" s="22"/>
      <c r="H454" s="22"/>
      <c r="I454" s="22"/>
    </row>
    <row r="455" spans="3:9" ht="15.75" customHeight="1" x14ac:dyDescent="0.2">
      <c r="C455" s="21"/>
      <c r="D455" s="22"/>
      <c r="E455" s="22"/>
      <c r="F455" s="22"/>
      <c r="G455" s="22"/>
      <c r="H455" s="22"/>
      <c r="I455" s="22"/>
    </row>
    <row r="456" spans="3:9" ht="15.75" customHeight="1" x14ac:dyDescent="0.2">
      <c r="C456" s="21"/>
      <c r="D456" s="22"/>
      <c r="E456" s="22"/>
      <c r="F456" s="22"/>
      <c r="G456" s="22"/>
      <c r="H456" s="22"/>
      <c r="I456" s="22"/>
    </row>
    <row r="457" spans="3:9" ht="15.75" customHeight="1" x14ac:dyDescent="0.2">
      <c r="C457" s="21"/>
      <c r="D457" s="22"/>
      <c r="E457" s="22"/>
      <c r="F457" s="22"/>
      <c r="G457" s="22"/>
      <c r="H457" s="22"/>
      <c r="I457" s="22"/>
    </row>
    <row r="458" spans="3:9" ht="15.75" customHeight="1" x14ac:dyDescent="0.2">
      <c r="C458" s="21"/>
      <c r="D458" s="22"/>
      <c r="E458" s="22"/>
      <c r="F458" s="22"/>
      <c r="G458" s="22"/>
      <c r="H458" s="22"/>
      <c r="I458" s="22"/>
    </row>
    <row r="459" spans="3:9" ht="15.75" customHeight="1" x14ac:dyDescent="0.2">
      <c r="C459" s="21"/>
      <c r="D459" s="22"/>
      <c r="E459" s="22"/>
      <c r="F459" s="22"/>
      <c r="G459" s="22"/>
      <c r="H459" s="22"/>
      <c r="I459" s="22"/>
    </row>
    <row r="460" spans="3:9" ht="15.75" customHeight="1" x14ac:dyDescent="0.2">
      <c r="C460" s="21"/>
      <c r="D460" s="22"/>
      <c r="E460" s="22"/>
      <c r="F460" s="22"/>
      <c r="G460" s="22"/>
      <c r="H460" s="22"/>
      <c r="I460" s="22"/>
    </row>
    <row r="461" spans="3:9" ht="15.75" customHeight="1" x14ac:dyDescent="0.2">
      <c r="C461" s="21"/>
      <c r="D461" s="22"/>
      <c r="E461" s="22"/>
      <c r="F461" s="22"/>
      <c r="G461" s="22"/>
      <c r="H461" s="22"/>
      <c r="I461" s="22"/>
    </row>
    <row r="462" spans="3:9" ht="15.75" customHeight="1" x14ac:dyDescent="0.2">
      <c r="C462" s="21"/>
      <c r="D462" s="22"/>
      <c r="E462" s="22"/>
      <c r="F462" s="22"/>
      <c r="G462" s="22"/>
      <c r="H462" s="22"/>
      <c r="I462" s="22"/>
    </row>
    <row r="463" spans="3:9" ht="15.75" customHeight="1" x14ac:dyDescent="0.2">
      <c r="C463" s="21"/>
      <c r="D463" s="22"/>
      <c r="E463" s="22"/>
      <c r="F463" s="22"/>
      <c r="G463" s="22"/>
      <c r="H463" s="22"/>
      <c r="I463" s="22"/>
    </row>
    <row r="464" spans="3:9" ht="15.75" customHeight="1" x14ac:dyDescent="0.2">
      <c r="C464" s="21"/>
      <c r="D464" s="22"/>
      <c r="E464" s="22"/>
      <c r="F464" s="22"/>
      <c r="G464" s="22"/>
      <c r="H464" s="22"/>
      <c r="I464" s="22"/>
    </row>
    <row r="465" spans="3:9" ht="15.75" customHeight="1" x14ac:dyDescent="0.2">
      <c r="C465" s="21"/>
      <c r="D465" s="22"/>
      <c r="E465" s="22"/>
      <c r="F465" s="22"/>
      <c r="G465" s="22"/>
      <c r="H465" s="22"/>
      <c r="I465" s="22"/>
    </row>
    <row r="466" spans="3:9" ht="15.75" customHeight="1" x14ac:dyDescent="0.2">
      <c r="C466" s="21"/>
      <c r="D466" s="22"/>
      <c r="E466" s="22"/>
      <c r="F466" s="22"/>
      <c r="G466" s="22"/>
      <c r="H466" s="22"/>
      <c r="I466" s="22"/>
    </row>
    <row r="467" spans="3:9" ht="15.75" customHeight="1" x14ac:dyDescent="0.2">
      <c r="C467" s="21"/>
      <c r="D467" s="22"/>
      <c r="E467" s="22"/>
      <c r="F467" s="22"/>
      <c r="G467" s="22"/>
      <c r="H467" s="22"/>
      <c r="I467" s="22"/>
    </row>
    <row r="468" spans="3:9" ht="15.75" customHeight="1" x14ac:dyDescent="0.2">
      <c r="C468" s="21"/>
      <c r="D468" s="22"/>
      <c r="E468" s="22"/>
      <c r="F468" s="22"/>
      <c r="G468" s="22"/>
      <c r="H468" s="22"/>
      <c r="I468" s="22"/>
    </row>
    <row r="469" spans="3:9" ht="15.75" customHeight="1" x14ac:dyDescent="0.2">
      <c r="C469" s="21"/>
      <c r="D469" s="22"/>
      <c r="E469" s="22"/>
      <c r="F469" s="22"/>
      <c r="G469" s="22"/>
      <c r="H469" s="22"/>
      <c r="I469" s="22"/>
    </row>
    <row r="470" spans="3:9" ht="15.75" customHeight="1" x14ac:dyDescent="0.2">
      <c r="C470" s="21"/>
      <c r="D470" s="22"/>
      <c r="E470" s="22"/>
      <c r="F470" s="22"/>
      <c r="G470" s="22"/>
      <c r="H470" s="22"/>
      <c r="I470" s="22"/>
    </row>
    <row r="471" spans="3:9" ht="15.75" customHeight="1" x14ac:dyDescent="0.2">
      <c r="C471" s="21"/>
      <c r="D471" s="22"/>
      <c r="E471" s="22"/>
      <c r="F471" s="22"/>
      <c r="G471" s="22"/>
      <c r="H471" s="22"/>
      <c r="I471" s="22"/>
    </row>
    <row r="472" spans="3:9" ht="15.75" customHeight="1" x14ac:dyDescent="0.2">
      <c r="C472" s="21"/>
      <c r="D472" s="22"/>
      <c r="E472" s="22"/>
      <c r="F472" s="22"/>
      <c r="G472" s="22"/>
      <c r="H472" s="22"/>
      <c r="I472" s="22"/>
    </row>
    <row r="473" spans="3:9" ht="15.75" customHeight="1" x14ac:dyDescent="0.2">
      <c r="C473" s="21"/>
      <c r="D473" s="22"/>
      <c r="E473" s="22"/>
      <c r="F473" s="22"/>
      <c r="G473" s="22"/>
      <c r="H473" s="22"/>
      <c r="I473" s="22"/>
    </row>
    <row r="474" spans="3:9" ht="15.75" customHeight="1" x14ac:dyDescent="0.2">
      <c r="C474" s="21"/>
      <c r="D474" s="22"/>
      <c r="E474" s="22"/>
      <c r="F474" s="22"/>
      <c r="G474" s="22"/>
      <c r="H474" s="22"/>
      <c r="I474" s="22"/>
    </row>
    <row r="475" spans="3:9" ht="15.75" customHeight="1" x14ac:dyDescent="0.2">
      <c r="C475" s="21"/>
      <c r="D475" s="22"/>
      <c r="E475" s="22"/>
      <c r="F475" s="22"/>
      <c r="G475" s="22"/>
      <c r="H475" s="22"/>
      <c r="I475" s="22"/>
    </row>
    <row r="476" spans="3:9" ht="15.75" customHeight="1" x14ac:dyDescent="0.2">
      <c r="C476" s="21"/>
      <c r="D476" s="22"/>
      <c r="E476" s="22"/>
      <c r="F476" s="22"/>
      <c r="G476" s="22"/>
      <c r="H476" s="22"/>
      <c r="I476" s="22"/>
    </row>
    <row r="477" spans="3:9" ht="15.75" customHeight="1" x14ac:dyDescent="0.2">
      <c r="C477" s="21"/>
      <c r="D477" s="22"/>
      <c r="E477" s="22"/>
      <c r="F477" s="22"/>
      <c r="G477" s="22"/>
      <c r="H477" s="22"/>
      <c r="I477" s="22"/>
    </row>
    <row r="478" spans="3:9" ht="15.75" customHeight="1" x14ac:dyDescent="0.2">
      <c r="C478" s="21"/>
      <c r="D478" s="22"/>
      <c r="E478" s="22"/>
      <c r="F478" s="22"/>
      <c r="G478" s="22"/>
      <c r="H478" s="22"/>
      <c r="I478" s="22"/>
    </row>
    <row r="479" spans="3:9" ht="15.75" customHeight="1" x14ac:dyDescent="0.2">
      <c r="C479" s="21"/>
      <c r="D479" s="22"/>
      <c r="E479" s="22"/>
      <c r="F479" s="22"/>
      <c r="G479" s="22"/>
      <c r="H479" s="22"/>
      <c r="I479" s="22"/>
    </row>
    <row r="480" spans="3:9" ht="15.75" customHeight="1" x14ac:dyDescent="0.2">
      <c r="C480" s="21"/>
      <c r="D480" s="22"/>
      <c r="E480" s="22"/>
      <c r="F480" s="22"/>
      <c r="G480" s="22"/>
      <c r="H480" s="22"/>
      <c r="I480" s="22"/>
    </row>
    <row r="481" spans="3:9" ht="15.75" customHeight="1" x14ac:dyDescent="0.2">
      <c r="C481" s="21"/>
      <c r="D481" s="22"/>
      <c r="E481" s="22"/>
      <c r="F481" s="22"/>
      <c r="G481" s="22"/>
      <c r="H481" s="22"/>
      <c r="I481" s="22"/>
    </row>
    <row r="482" spans="3:9" ht="15.75" customHeight="1" x14ac:dyDescent="0.2">
      <c r="C482" s="21"/>
      <c r="D482" s="22"/>
      <c r="E482" s="22"/>
      <c r="F482" s="22"/>
      <c r="G482" s="22"/>
      <c r="H482" s="22"/>
      <c r="I482" s="22"/>
    </row>
    <row r="483" spans="3:9" ht="15.75" customHeight="1" x14ac:dyDescent="0.2">
      <c r="C483" s="21"/>
      <c r="D483" s="22"/>
      <c r="E483" s="22"/>
      <c r="F483" s="22"/>
      <c r="G483" s="22"/>
      <c r="H483" s="22"/>
      <c r="I483" s="22"/>
    </row>
    <row r="484" spans="3:9" ht="15.75" customHeight="1" x14ac:dyDescent="0.2">
      <c r="C484" s="21"/>
      <c r="D484" s="22"/>
      <c r="E484" s="22"/>
      <c r="F484" s="22"/>
      <c r="G484" s="22"/>
      <c r="H484" s="22"/>
      <c r="I484" s="22"/>
    </row>
    <row r="485" spans="3:9" ht="15.75" customHeight="1" x14ac:dyDescent="0.2">
      <c r="C485" s="21"/>
      <c r="D485" s="22"/>
      <c r="E485" s="22"/>
      <c r="F485" s="22"/>
      <c r="G485" s="22"/>
      <c r="H485" s="22"/>
      <c r="I485" s="22"/>
    </row>
    <row r="486" spans="3:9" ht="15.75" customHeight="1" x14ac:dyDescent="0.2">
      <c r="C486" s="21"/>
      <c r="D486" s="22"/>
      <c r="E486" s="22"/>
      <c r="F486" s="22"/>
      <c r="G486" s="22"/>
      <c r="H486" s="22"/>
      <c r="I486" s="22"/>
    </row>
    <row r="487" spans="3:9" ht="15.75" customHeight="1" x14ac:dyDescent="0.2">
      <c r="C487" s="21"/>
      <c r="D487" s="22"/>
      <c r="E487" s="22"/>
      <c r="F487" s="22"/>
      <c r="G487" s="22"/>
      <c r="H487" s="22"/>
      <c r="I487" s="22"/>
    </row>
    <row r="488" spans="3:9" ht="15.75" customHeight="1" x14ac:dyDescent="0.2">
      <c r="C488" s="21"/>
      <c r="D488" s="22"/>
      <c r="E488" s="22"/>
      <c r="F488" s="22"/>
      <c r="G488" s="22"/>
      <c r="H488" s="22"/>
      <c r="I488" s="22"/>
    </row>
    <row r="489" spans="3:9" ht="15.75" customHeight="1" x14ac:dyDescent="0.2">
      <c r="C489" s="21"/>
      <c r="D489" s="22"/>
      <c r="E489" s="22"/>
      <c r="F489" s="22"/>
      <c r="G489" s="22"/>
      <c r="H489" s="22"/>
      <c r="I489" s="22"/>
    </row>
    <row r="490" spans="3:9" ht="15.75" customHeight="1" x14ac:dyDescent="0.2">
      <c r="C490" s="21"/>
      <c r="D490" s="22"/>
      <c r="E490" s="22"/>
      <c r="F490" s="22"/>
      <c r="G490" s="22"/>
      <c r="H490" s="22"/>
      <c r="I490" s="22"/>
    </row>
    <row r="491" spans="3:9" ht="15.75" customHeight="1" x14ac:dyDescent="0.2">
      <c r="C491" s="21"/>
      <c r="D491" s="22"/>
      <c r="E491" s="22"/>
      <c r="F491" s="22"/>
      <c r="G491" s="22"/>
      <c r="H491" s="22"/>
      <c r="I491" s="22"/>
    </row>
    <row r="492" spans="3:9" ht="15.75" customHeight="1" x14ac:dyDescent="0.2">
      <c r="C492" s="21"/>
      <c r="D492" s="22"/>
      <c r="E492" s="22"/>
      <c r="F492" s="22"/>
      <c r="G492" s="22"/>
      <c r="H492" s="22"/>
      <c r="I492" s="22"/>
    </row>
    <row r="493" spans="3:9" ht="15.75" customHeight="1" x14ac:dyDescent="0.2">
      <c r="C493" s="21"/>
      <c r="D493" s="22"/>
      <c r="E493" s="22"/>
      <c r="F493" s="22"/>
      <c r="G493" s="22"/>
      <c r="H493" s="22"/>
      <c r="I493" s="22"/>
    </row>
    <row r="494" spans="3:9" ht="15.75" customHeight="1" x14ac:dyDescent="0.2">
      <c r="C494" s="21"/>
      <c r="D494" s="22"/>
      <c r="E494" s="22"/>
      <c r="F494" s="22"/>
      <c r="G494" s="22"/>
      <c r="H494" s="22"/>
      <c r="I494" s="22"/>
    </row>
    <row r="495" spans="3:9" ht="15.75" customHeight="1" x14ac:dyDescent="0.2">
      <c r="C495" s="21"/>
      <c r="D495" s="22"/>
      <c r="E495" s="22"/>
      <c r="F495" s="22"/>
      <c r="G495" s="22"/>
      <c r="H495" s="22"/>
      <c r="I495" s="22"/>
    </row>
    <row r="496" spans="3:9" ht="15.75" customHeight="1" x14ac:dyDescent="0.2">
      <c r="C496" s="21"/>
      <c r="D496" s="22"/>
      <c r="E496" s="22"/>
      <c r="F496" s="22"/>
      <c r="G496" s="22"/>
      <c r="H496" s="22"/>
      <c r="I496" s="22"/>
    </row>
    <row r="497" spans="3:9" ht="15.75" customHeight="1" x14ac:dyDescent="0.2">
      <c r="C497" s="21"/>
      <c r="D497" s="22"/>
      <c r="E497" s="22"/>
      <c r="F497" s="22"/>
      <c r="G497" s="22"/>
      <c r="H497" s="22"/>
      <c r="I497" s="22"/>
    </row>
    <row r="498" spans="3:9" ht="15.75" customHeight="1" x14ac:dyDescent="0.2">
      <c r="C498" s="21"/>
      <c r="D498" s="22"/>
      <c r="E498" s="22"/>
      <c r="F498" s="22"/>
      <c r="G498" s="22"/>
      <c r="H498" s="22"/>
      <c r="I498" s="22"/>
    </row>
    <row r="499" spans="3:9" ht="15.75" customHeight="1" x14ac:dyDescent="0.2">
      <c r="C499" s="21"/>
      <c r="D499" s="22"/>
      <c r="E499" s="22"/>
      <c r="F499" s="22"/>
      <c r="G499" s="22"/>
      <c r="H499" s="22"/>
      <c r="I499" s="22"/>
    </row>
    <row r="500" spans="3:9" ht="15.75" customHeight="1" x14ac:dyDescent="0.2">
      <c r="C500" s="21"/>
      <c r="D500" s="22"/>
      <c r="E500" s="22"/>
      <c r="F500" s="22"/>
      <c r="G500" s="22"/>
      <c r="H500" s="22"/>
      <c r="I500" s="22"/>
    </row>
    <row r="501" spans="3:9" ht="15.75" customHeight="1" x14ac:dyDescent="0.2">
      <c r="C501" s="21"/>
      <c r="D501" s="22"/>
      <c r="E501" s="22"/>
      <c r="F501" s="22"/>
      <c r="G501" s="22"/>
      <c r="H501" s="22"/>
      <c r="I501" s="22"/>
    </row>
    <row r="502" spans="3:9" ht="15.75" customHeight="1" x14ac:dyDescent="0.2">
      <c r="C502" s="21"/>
      <c r="D502" s="22"/>
      <c r="E502" s="22"/>
      <c r="F502" s="22"/>
      <c r="G502" s="22"/>
      <c r="H502" s="22"/>
      <c r="I502" s="22"/>
    </row>
    <row r="503" spans="3:9" ht="15.75" customHeight="1" x14ac:dyDescent="0.2">
      <c r="C503" s="21"/>
      <c r="D503" s="22"/>
      <c r="E503" s="22"/>
      <c r="F503" s="22"/>
      <c r="G503" s="22"/>
      <c r="H503" s="22"/>
      <c r="I503" s="22"/>
    </row>
    <row r="504" spans="3:9" ht="15.75" customHeight="1" x14ac:dyDescent="0.2">
      <c r="C504" s="21"/>
      <c r="D504" s="22"/>
      <c r="E504" s="22"/>
      <c r="F504" s="22"/>
      <c r="G504" s="22"/>
      <c r="H504" s="22"/>
      <c r="I504" s="22"/>
    </row>
    <row r="505" spans="3:9" ht="15.75" customHeight="1" x14ac:dyDescent="0.2">
      <c r="C505" s="21"/>
      <c r="D505" s="22"/>
      <c r="E505" s="22"/>
      <c r="F505" s="22"/>
      <c r="G505" s="22"/>
      <c r="H505" s="22"/>
      <c r="I505" s="22"/>
    </row>
    <row r="506" spans="3:9" ht="15.75" customHeight="1" x14ac:dyDescent="0.2">
      <c r="C506" s="21"/>
      <c r="D506" s="22"/>
      <c r="E506" s="22"/>
      <c r="F506" s="22"/>
      <c r="G506" s="22"/>
      <c r="H506" s="22"/>
      <c r="I506" s="22"/>
    </row>
    <row r="507" spans="3:9" ht="15.75" customHeight="1" x14ac:dyDescent="0.2">
      <c r="C507" s="21"/>
      <c r="D507" s="22"/>
      <c r="E507" s="22"/>
      <c r="F507" s="22"/>
      <c r="G507" s="22"/>
      <c r="H507" s="22"/>
      <c r="I507" s="22"/>
    </row>
    <row r="508" spans="3:9" ht="15.75" customHeight="1" x14ac:dyDescent="0.2">
      <c r="C508" s="21"/>
      <c r="D508" s="22"/>
      <c r="E508" s="22"/>
      <c r="F508" s="22"/>
      <c r="G508" s="22"/>
      <c r="H508" s="22"/>
      <c r="I508" s="22"/>
    </row>
    <row r="509" spans="3:9" ht="15.75" customHeight="1" x14ac:dyDescent="0.2">
      <c r="C509" s="21"/>
      <c r="D509" s="22"/>
      <c r="E509" s="22"/>
      <c r="F509" s="22"/>
      <c r="G509" s="22"/>
      <c r="H509" s="22"/>
      <c r="I509" s="22"/>
    </row>
    <row r="510" spans="3:9" ht="15.75" customHeight="1" x14ac:dyDescent="0.2">
      <c r="C510" s="21"/>
      <c r="D510" s="22"/>
      <c r="E510" s="22"/>
      <c r="F510" s="22"/>
      <c r="G510" s="22"/>
      <c r="H510" s="22"/>
      <c r="I510" s="22"/>
    </row>
    <row r="511" spans="3:9" ht="15.75" customHeight="1" x14ac:dyDescent="0.2">
      <c r="C511" s="21"/>
      <c r="D511" s="22"/>
      <c r="E511" s="22"/>
      <c r="F511" s="22"/>
      <c r="G511" s="22"/>
      <c r="H511" s="22"/>
      <c r="I511" s="22"/>
    </row>
    <row r="512" spans="3:9" ht="15.75" customHeight="1" x14ac:dyDescent="0.2">
      <c r="C512" s="21"/>
      <c r="D512" s="22"/>
      <c r="E512" s="22"/>
      <c r="F512" s="22"/>
      <c r="G512" s="22"/>
      <c r="H512" s="22"/>
      <c r="I512" s="22"/>
    </row>
    <row r="513" spans="3:9" ht="15.75" customHeight="1" x14ac:dyDescent="0.2">
      <c r="C513" s="21"/>
      <c r="D513" s="22"/>
      <c r="E513" s="22"/>
      <c r="F513" s="22"/>
      <c r="G513" s="22"/>
      <c r="H513" s="22"/>
      <c r="I513" s="22"/>
    </row>
    <row r="514" spans="3:9" ht="15.75" customHeight="1" x14ac:dyDescent="0.2">
      <c r="C514" s="21"/>
      <c r="D514" s="22"/>
      <c r="E514" s="22"/>
      <c r="F514" s="22"/>
      <c r="G514" s="22"/>
      <c r="H514" s="22"/>
      <c r="I514" s="22"/>
    </row>
    <row r="515" spans="3:9" ht="15.75" customHeight="1" x14ac:dyDescent="0.2">
      <c r="C515" s="21"/>
      <c r="D515" s="22"/>
      <c r="E515" s="22"/>
      <c r="F515" s="22"/>
      <c r="G515" s="22"/>
      <c r="H515" s="22"/>
      <c r="I515" s="22"/>
    </row>
    <row r="516" spans="3:9" ht="15.75" customHeight="1" x14ac:dyDescent="0.2">
      <c r="C516" s="21"/>
      <c r="D516" s="22"/>
      <c r="E516" s="22"/>
      <c r="F516" s="22"/>
      <c r="G516" s="22"/>
      <c r="H516" s="22"/>
      <c r="I516" s="22"/>
    </row>
    <row r="517" spans="3:9" ht="15.75" customHeight="1" x14ac:dyDescent="0.2">
      <c r="C517" s="21"/>
      <c r="D517" s="22"/>
      <c r="E517" s="22"/>
      <c r="F517" s="22"/>
      <c r="G517" s="22"/>
      <c r="H517" s="22"/>
      <c r="I517" s="22"/>
    </row>
    <row r="518" spans="3:9" ht="15.75" customHeight="1" x14ac:dyDescent="0.2">
      <c r="C518" s="21"/>
      <c r="D518" s="22"/>
      <c r="E518" s="22"/>
      <c r="F518" s="22"/>
      <c r="G518" s="22"/>
      <c r="H518" s="22"/>
      <c r="I518" s="22"/>
    </row>
    <row r="519" spans="3:9" ht="15.75" customHeight="1" x14ac:dyDescent="0.2">
      <c r="C519" s="21"/>
      <c r="D519" s="22"/>
      <c r="E519" s="22"/>
      <c r="F519" s="22"/>
      <c r="G519" s="22"/>
      <c r="H519" s="22"/>
      <c r="I519" s="22"/>
    </row>
    <row r="520" spans="3:9" ht="15.75" customHeight="1" x14ac:dyDescent="0.2">
      <c r="C520" s="21"/>
      <c r="D520" s="22"/>
      <c r="E520" s="22"/>
      <c r="F520" s="22"/>
      <c r="G520" s="22"/>
      <c r="H520" s="22"/>
      <c r="I520" s="22"/>
    </row>
    <row r="521" spans="3:9" ht="15.75" customHeight="1" x14ac:dyDescent="0.2">
      <c r="C521" s="21"/>
      <c r="D521" s="22"/>
      <c r="E521" s="22"/>
      <c r="F521" s="22"/>
      <c r="G521" s="22"/>
      <c r="H521" s="22"/>
      <c r="I521" s="22"/>
    </row>
    <row r="522" spans="3:9" ht="15.75" customHeight="1" x14ac:dyDescent="0.2">
      <c r="C522" s="21"/>
      <c r="D522" s="22"/>
      <c r="E522" s="22"/>
      <c r="F522" s="22"/>
      <c r="G522" s="22"/>
      <c r="H522" s="22"/>
      <c r="I522" s="22"/>
    </row>
    <row r="523" spans="3:9" ht="15.75" customHeight="1" x14ac:dyDescent="0.2">
      <c r="C523" s="21"/>
      <c r="D523" s="22"/>
      <c r="E523" s="22"/>
      <c r="F523" s="22"/>
      <c r="G523" s="22"/>
      <c r="H523" s="22"/>
      <c r="I523" s="22"/>
    </row>
    <row r="524" spans="3:9" ht="15.75" customHeight="1" x14ac:dyDescent="0.2">
      <c r="C524" s="21"/>
      <c r="D524" s="22"/>
      <c r="E524" s="22"/>
      <c r="F524" s="22"/>
      <c r="G524" s="22"/>
      <c r="H524" s="22"/>
      <c r="I524" s="22"/>
    </row>
    <row r="525" spans="3:9" ht="15.75" customHeight="1" x14ac:dyDescent="0.2">
      <c r="C525" s="21"/>
      <c r="D525" s="22"/>
      <c r="E525" s="22"/>
      <c r="F525" s="22"/>
      <c r="G525" s="22"/>
      <c r="H525" s="22"/>
      <c r="I525" s="22"/>
    </row>
    <row r="526" spans="3:9" ht="15.75" customHeight="1" x14ac:dyDescent="0.2">
      <c r="C526" s="21"/>
      <c r="D526" s="22"/>
      <c r="E526" s="22"/>
      <c r="F526" s="22"/>
      <c r="G526" s="22"/>
      <c r="H526" s="22"/>
      <c r="I526" s="22"/>
    </row>
    <row r="527" spans="3:9" ht="15.75" customHeight="1" x14ac:dyDescent="0.2">
      <c r="C527" s="21"/>
      <c r="D527" s="22"/>
      <c r="E527" s="22"/>
      <c r="F527" s="22"/>
      <c r="G527" s="22"/>
      <c r="H527" s="22"/>
      <c r="I527" s="22"/>
    </row>
    <row r="528" spans="3:9" ht="15.75" customHeight="1" x14ac:dyDescent="0.2">
      <c r="C528" s="21"/>
      <c r="D528" s="22"/>
      <c r="E528" s="22"/>
      <c r="F528" s="22"/>
      <c r="G528" s="22"/>
      <c r="H528" s="22"/>
      <c r="I528" s="22"/>
    </row>
    <row r="529" spans="3:9" ht="15.75" customHeight="1" x14ac:dyDescent="0.2">
      <c r="C529" s="21"/>
      <c r="D529" s="22"/>
      <c r="E529" s="22"/>
      <c r="F529" s="22"/>
      <c r="G529" s="22"/>
      <c r="H529" s="22"/>
      <c r="I529" s="22"/>
    </row>
    <row r="530" spans="3:9" ht="15.75" customHeight="1" x14ac:dyDescent="0.2">
      <c r="C530" s="21"/>
      <c r="D530" s="22"/>
      <c r="E530" s="22"/>
      <c r="F530" s="22"/>
      <c r="G530" s="22"/>
      <c r="H530" s="22"/>
      <c r="I530" s="22"/>
    </row>
    <row r="531" spans="3:9" ht="15.75" customHeight="1" x14ac:dyDescent="0.2">
      <c r="C531" s="21"/>
      <c r="D531" s="22"/>
      <c r="E531" s="22"/>
      <c r="F531" s="22"/>
      <c r="G531" s="22"/>
      <c r="H531" s="22"/>
      <c r="I531" s="22"/>
    </row>
    <row r="532" spans="3:9" ht="15.75" customHeight="1" x14ac:dyDescent="0.2">
      <c r="C532" s="21"/>
      <c r="D532" s="22"/>
      <c r="E532" s="22"/>
      <c r="F532" s="22"/>
      <c r="G532" s="22"/>
      <c r="H532" s="22"/>
      <c r="I532" s="22"/>
    </row>
    <row r="533" spans="3:9" ht="15.75" customHeight="1" x14ac:dyDescent="0.2">
      <c r="C533" s="21"/>
      <c r="D533" s="22"/>
      <c r="E533" s="22"/>
      <c r="F533" s="22"/>
      <c r="G533" s="22"/>
      <c r="H533" s="22"/>
      <c r="I533" s="22"/>
    </row>
    <row r="534" spans="3:9" ht="15.75" customHeight="1" x14ac:dyDescent="0.2">
      <c r="C534" s="21"/>
      <c r="D534" s="22"/>
      <c r="E534" s="22"/>
      <c r="F534" s="22"/>
      <c r="G534" s="22"/>
      <c r="H534" s="22"/>
      <c r="I534" s="22"/>
    </row>
    <row r="535" spans="3:9" ht="15.75" customHeight="1" x14ac:dyDescent="0.2">
      <c r="C535" s="21"/>
      <c r="D535" s="22"/>
      <c r="E535" s="22"/>
      <c r="F535" s="22"/>
      <c r="G535" s="22"/>
      <c r="H535" s="22"/>
      <c r="I535" s="22"/>
    </row>
    <row r="536" spans="3:9" ht="15.75" customHeight="1" x14ac:dyDescent="0.2">
      <c r="C536" s="21"/>
      <c r="D536" s="22"/>
      <c r="E536" s="22"/>
      <c r="F536" s="22"/>
      <c r="G536" s="22"/>
      <c r="H536" s="22"/>
      <c r="I536" s="22"/>
    </row>
    <row r="537" spans="3:9" ht="15.75" customHeight="1" x14ac:dyDescent="0.2">
      <c r="C537" s="21"/>
      <c r="D537" s="22"/>
      <c r="E537" s="22"/>
      <c r="F537" s="22"/>
      <c r="G537" s="22"/>
      <c r="H537" s="22"/>
      <c r="I537" s="22"/>
    </row>
    <row r="538" spans="3:9" ht="15.75" customHeight="1" x14ac:dyDescent="0.2">
      <c r="C538" s="21"/>
      <c r="D538" s="22"/>
      <c r="E538" s="22"/>
      <c r="F538" s="22"/>
      <c r="G538" s="22"/>
      <c r="H538" s="22"/>
      <c r="I538" s="22"/>
    </row>
    <row r="539" spans="3:9" ht="15.75" customHeight="1" x14ac:dyDescent="0.2">
      <c r="C539" s="21"/>
      <c r="D539" s="22"/>
      <c r="E539" s="22"/>
      <c r="F539" s="22"/>
      <c r="G539" s="22"/>
      <c r="H539" s="22"/>
      <c r="I539" s="22"/>
    </row>
    <row r="540" spans="3:9" ht="15.75" customHeight="1" x14ac:dyDescent="0.2">
      <c r="C540" s="21"/>
      <c r="D540" s="22"/>
      <c r="E540" s="22"/>
      <c r="F540" s="22"/>
      <c r="G540" s="22"/>
      <c r="H540" s="22"/>
      <c r="I540" s="22"/>
    </row>
    <row r="541" spans="3:9" ht="15.75" customHeight="1" x14ac:dyDescent="0.2">
      <c r="C541" s="21"/>
      <c r="D541" s="22"/>
      <c r="E541" s="22"/>
      <c r="F541" s="22"/>
      <c r="G541" s="22"/>
      <c r="H541" s="22"/>
      <c r="I541" s="22"/>
    </row>
    <row r="542" spans="3:9" ht="15.75" customHeight="1" x14ac:dyDescent="0.2">
      <c r="C542" s="21"/>
      <c r="D542" s="22"/>
      <c r="E542" s="22"/>
      <c r="F542" s="22"/>
      <c r="G542" s="22"/>
      <c r="H542" s="22"/>
      <c r="I542" s="22"/>
    </row>
    <row r="543" spans="3:9" ht="15.75" customHeight="1" x14ac:dyDescent="0.2">
      <c r="C543" s="21"/>
      <c r="D543" s="22"/>
      <c r="E543" s="22"/>
      <c r="F543" s="22"/>
      <c r="G543" s="22"/>
      <c r="H543" s="22"/>
      <c r="I543" s="22"/>
    </row>
    <row r="544" spans="3:9" ht="15.75" customHeight="1" x14ac:dyDescent="0.2">
      <c r="C544" s="21"/>
      <c r="D544" s="22"/>
      <c r="E544" s="22"/>
      <c r="F544" s="22"/>
      <c r="G544" s="22"/>
      <c r="H544" s="22"/>
      <c r="I544" s="22"/>
    </row>
    <row r="545" spans="3:9" ht="15.75" customHeight="1" x14ac:dyDescent="0.2">
      <c r="C545" s="21"/>
      <c r="D545" s="22"/>
      <c r="E545" s="22"/>
      <c r="F545" s="22"/>
      <c r="G545" s="22"/>
      <c r="H545" s="22"/>
      <c r="I545" s="22"/>
    </row>
    <row r="546" spans="3:9" ht="15.75" customHeight="1" x14ac:dyDescent="0.2">
      <c r="C546" s="21"/>
      <c r="D546" s="22"/>
      <c r="E546" s="22"/>
      <c r="F546" s="22"/>
      <c r="G546" s="22"/>
      <c r="H546" s="22"/>
      <c r="I546" s="22"/>
    </row>
    <row r="547" spans="3:9" ht="15.75" customHeight="1" x14ac:dyDescent="0.2">
      <c r="C547" s="21"/>
      <c r="D547" s="22"/>
      <c r="E547" s="22"/>
      <c r="F547" s="22"/>
      <c r="G547" s="22"/>
      <c r="H547" s="22"/>
      <c r="I547" s="22"/>
    </row>
    <row r="548" spans="3:9" ht="15.75" customHeight="1" x14ac:dyDescent="0.2">
      <c r="C548" s="21"/>
      <c r="D548" s="22"/>
      <c r="E548" s="22"/>
      <c r="F548" s="22"/>
      <c r="G548" s="22"/>
      <c r="H548" s="22"/>
      <c r="I548" s="22"/>
    </row>
    <row r="549" spans="3:9" ht="15.75" customHeight="1" x14ac:dyDescent="0.2">
      <c r="C549" s="21"/>
      <c r="D549" s="22"/>
      <c r="E549" s="22"/>
      <c r="F549" s="22"/>
      <c r="G549" s="22"/>
      <c r="H549" s="22"/>
      <c r="I549" s="22"/>
    </row>
    <row r="550" spans="3:9" ht="15.75" customHeight="1" x14ac:dyDescent="0.2">
      <c r="C550" s="21"/>
      <c r="D550" s="22"/>
      <c r="E550" s="22"/>
      <c r="F550" s="22"/>
      <c r="G550" s="22"/>
      <c r="H550" s="22"/>
      <c r="I550" s="22"/>
    </row>
    <row r="551" spans="3:9" ht="15.75" customHeight="1" x14ac:dyDescent="0.2">
      <c r="C551" s="21"/>
      <c r="D551" s="22"/>
      <c r="E551" s="22"/>
      <c r="F551" s="22"/>
      <c r="G551" s="22"/>
      <c r="H551" s="22"/>
      <c r="I551" s="22"/>
    </row>
    <row r="552" spans="3:9" ht="15.75" customHeight="1" x14ac:dyDescent="0.2">
      <c r="C552" s="21"/>
      <c r="D552" s="22"/>
      <c r="E552" s="22"/>
      <c r="F552" s="22"/>
      <c r="G552" s="22"/>
      <c r="H552" s="22"/>
      <c r="I552" s="22"/>
    </row>
    <row r="553" spans="3:9" ht="15.75" customHeight="1" x14ac:dyDescent="0.2">
      <c r="C553" s="21"/>
      <c r="D553" s="22"/>
      <c r="E553" s="22"/>
      <c r="F553" s="22"/>
      <c r="G553" s="22"/>
      <c r="H553" s="22"/>
      <c r="I553" s="22"/>
    </row>
    <row r="554" spans="3:9" ht="15.75" customHeight="1" x14ac:dyDescent="0.2">
      <c r="C554" s="21"/>
      <c r="D554" s="22"/>
      <c r="E554" s="22"/>
      <c r="F554" s="22"/>
      <c r="G554" s="22"/>
      <c r="H554" s="22"/>
      <c r="I554" s="22"/>
    </row>
    <row r="555" spans="3:9" ht="15.75" customHeight="1" x14ac:dyDescent="0.2">
      <c r="C555" s="21"/>
      <c r="D555" s="22"/>
      <c r="E555" s="22"/>
      <c r="F555" s="22"/>
      <c r="G555" s="22"/>
      <c r="H555" s="22"/>
      <c r="I555" s="22"/>
    </row>
    <row r="556" spans="3:9" ht="15.75" customHeight="1" x14ac:dyDescent="0.2">
      <c r="C556" s="21"/>
      <c r="D556" s="22"/>
      <c r="E556" s="22"/>
      <c r="F556" s="22"/>
      <c r="G556" s="22"/>
      <c r="H556" s="22"/>
      <c r="I556" s="22"/>
    </row>
    <row r="557" spans="3:9" ht="15.75" customHeight="1" x14ac:dyDescent="0.2">
      <c r="C557" s="21"/>
      <c r="D557" s="22"/>
      <c r="E557" s="22"/>
      <c r="F557" s="22"/>
      <c r="G557" s="22"/>
      <c r="H557" s="22"/>
      <c r="I557" s="22"/>
    </row>
    <row r="558" spans="3:9" ht="15.75" customHeight="1" x14ac:dyDescent="0.2">
      <c r="C558" s="21"/>
      <c r="D558" s="22"/>
      <c r="E558" s="22"/>
      <c r="F558" s="22"/>
      <c r="G558" s="22"/>
      <c r="H558" s="22"/>
      <c r="I558" s="22"/>
    </row>
    <row r="559" spans="3:9" ht="15.75" customHeight="1" x14ac:dyDescent="0.2">
      <c r="C559" s="21"/>
      <c r="D559" s="22"/>
      <c r="E559" s="22"/>
      <c r="F559" s="22"/>
      <c r="G559" s="22"/>
      <c r="H559" s="22"/>
      <c r="I559" s="22"/>
    </row>
    <row r="560" spans="3:9" ht="15.75" customHeight="1" x14ac:dyDescent="0.2">
      <c r="C560" s="21"/>
      <c r="D560" s="22"/>
      <c r="E560" s="22"/>
      <c r="F560" s="22"/>
      <c r="G560" s="22"/>
      <c r="H560" s="22"/>
      <c r="I560" s="22"/>
    </row>
    <row r="561" spans="3:9" ht="15.75" customHeight="1" x14ac:dyDescent="0.2">
      <c r="C561" s="21"/>
      <c r="D561" s="22"/>
      <c r="E561" s="22"/>
      <c r="F561" s="22"/>
      <c r="G561" s="22"/>
      <c r="H561" s="22"/>
      <c r="I561" s="22"/>
    </row>
    <row r="562" spans="3:9" ht="15.75" customHeight="1" x14ac:dyDescent="0.2">
      <c r="C562" s="21"/>
      <c r="D562" s="22"/>
      <c r="E562" s="22"/>
      <c r="F562" s="22"/>
      <c r="G562" s="22"/>
      <c r="H562" s="22"/>
      <c r="I562" s="22"/>
    </row>
    <row r="563" spans="3:9" ht="15.75" customHeight="1" x14ac:dyDescent="0.2">
      <c r="C563" s="21"/>
      <c r="D563" s="22"/>
      <c r="E563" s="22"/>
      <c r="F563" s="22"/>
      <c r="G563" s="22"/>
      <c r="H563" s="22"/>
      <c r="I563" s="22"/>
    </row>
    <row r="564" spans="3:9" ht="15.75" customHeight="1" x14ac:dyDescent="0.2">
      <c r="C564" s="21"/>
      <c r="D564" s="22"/>
      <c r="E564" s="22"/>
      <c r="F564" s="22"/>
      <c r="G564" s="22"/>
      <c r="H564" s="22"/>
      <c r="I564" s="22"/>
    </row>
    <row r="565" spans="3:9" ht="15.75" customHeight="1" x14ac:dyDescent="0.2">
      <c r="C565" s="21"/>
      <c r="D565" s="22"/>
      <c r="E565" s="22"/>
      <c r="F565" s="22"/>
      <c r="G565" s="22"/>
      <c r="H565" s="22"/>
      <c r="I565" s="22"/>
    </row>
    <row r="566" spans="3:9" ht="15.75" customHeight="1" x14ac:dyDescent="0.2">
      <c r="C566" s="21"/>
      <c r="D566" s="22"/>
      <c r="E566" s="22"/>
      <c r="F566" s="22"/>
      <c r="G566" s="22"/>
      <c r="H566" s="22"/>
      <c r="I566" s="22"/>
    </row>
    <row r="567" spans="3:9" ht="15.75" customHeight="1" x14ac:dyDescent="0.2">
      <c r="C567" s="21"/>
      <c r="D567" s="22"/>
      <c r="E567" s="22"/>
      <c r="F567" s="22"/>
      <c r="G567" s="22"/>
      <c r="H567" s="22"/>
      <c r="I567" s="22"/>
    </row>
    <row r="568" spans="3:9" ht="15.75" customHeight="1" x14ac:dyDescent="0.2">
      <c r="C568" s="21"/>
      <c r="D568" s="22"/>
      <c r="E568" s="22"/>
      <c r="F568" s="22"/>
      <c r="G568" s="22"/>
      <c r="H568" s="22"/>
      <c r="I568" s="22"/>
    </row>
    <row r="569" spans="3:9" ht="15.75" customHeight="1" x14ac:dyDescent="0.2">
      <c r="C569" s="21"/>
      <c r="D569" s="22"/>
      <c r="E569" s="22"/>
      <c r="F569" s="22"/>
      <c r="G569" s="22"/>
      <c r="H569" s="22"/>
      <c r="I569" s="22"/>
    </row>
    <row r="570" spans="3:9" ht="15.75" customHeight="1" x14ac:dyDescent="0.2">
      <c r="C570" s="21"/>
      <c r="D570" s="22"/>
      <c r="E570" s="22"/>
      <c r="F570" s="22"/>
      <c r="G570" s="22"/>
      <c r="H570" s="22"/>
      <c r="I570" s="22"/>
    </row>
    <row r="571" spans="3:9" ht="15.75" customHeight="1" x14ac:dyDescent="0.2">
      <c r="C571" s="21"/>
      <c r="D571" s="22"/>
      <c r="E571" s="22"/>
      <c r="F571" s="22"/>
      <c r="G571" s="22"/>
      <c r="H571" s="22"/>
      <c r="I571" s="22"/>
    </row>
    <row r="572" spans="3:9" ht="15.75" customHeight="1" x14ac:dyDescent="0.2">
      <c r="C572" s="21"/>
      <c r="D572" s="22"/>
      <c r="E572" s="22"/>
      <c r="F572" s="22"/>
      <c r="G572" s="22"/>
      <c r="H572" s="22"/>
      <c r="I572" s="22"/>
    </row>
    <row r="573" spans="3:9" ht="15.75" customHeight="1" x14ac:dyDescent="0.2">
      <c r="C573" s="21"/>
      <c r="D573" s="22"/>
      <c r="E573" s="22"/>
      <c r="F573" s="22"/>
      <c r="G573" s="22"/>
      <c r="H573" s="22"/>
      <c r="I573" s="22"/>
    </row>
    <row r="574" spans="3:9" ht="15.75" customHeight="1" x14ac:dyDescent="0.2">
      <c r="C574" s="21"/>
      <c r="D574" s="22"/>
      <c r="E574" s="22"/>
      <c r="F574" s="22"/>
      <c r="G574" s="22"/>
      <c r="H574" s="22"/>
      <c r="I574" s="22"/>
    </row>
    <row r="575" spans="3:9" ht="15.75" customHeight="1" x14ac:dyDescent="0.2">
      <c r="C575" s="21"/>
      <c r="D575" s="22"/>
      <c r="E575" s="22"/>
      <c r="F575" s="22"/>
      <c r="G575" s="22"/>
      <c r="H575" s="22"/>
      <c r="I575" s="22"/>
    </row>
    <row r="576" spans="3:9" ht="15.75" customHeight="1" x14ac:dyDescent="0.2">
      <c r="C576" s="21"/>
      <c r="D576" s="22"/>
      <c r="E576" s="22"/>
      <c r="F576" s="22"/>
      <c r="G576" s="22"/>
      <c r="H576" s="22"/>
      <c r="I576" s="22"/>
    </row>
    <row r="577" spans="3:9" ht="15.75" customHeight="1" x14ac:dyDescent="0.2">
      <c r="C577" s="21"/>
      <c r="D577" s="22"/>
      <c r="E577" s="22"/>
      <c r="F577" s="22"/>
      <c r="G577" s="22"/>
      <c r="H577" s="22"/>
      <c r="I577" s="22"/>
    </row>
    <row r="578" spans="3:9" ht="15.75" customHeight="1" x14ac:dyDescent="0.2">
      <c r="C578" s="21"/>
      <c r="D578" s="22"/>
      <c r="E578" s="22"/>
      <c r="F578" s="22"/>
      <c r="G578" s="22"/>
      <c r="H578" s="22"/>
      <c r="I578" s="22"/>
    </row>
    <row r="579" spans="3:9" ht="15.75" customHeight="1" x14ac:dyDescent="0.2">
      <c r="C579" s="21"/>
      <c r="D579" s="22"/>
      <c r="E579" s="22"/>
      <c r="F579" s="22"/>
      <c r="G579" s="22"/>
      <c r="H579" s="22"/>
      <c r="I579" s="22"/>
    </row>
    <row r="580" spans="3:9" ht="15.75" customHeight="1" x14ac:dyDescent="0.2">
      <c r="C580" s="21"/>
      <c r="D580" s="22"/>
      <c r="E580" s="22"/>
      <c r="F580" s="22"/>
      <c r="G580" s="22"/>
      <c r="H580" s="22"/>
      <c r="I580" s="22"/>
    </row>
    <row r="581" spans="3:9" ht="15.75" customHeight="1" x14ac:dyDescent="0.2">
      <c r="C581" s="21"/>
      <c r="D581" s="22"/>
      <c r="E581" s="22"/>
      <c r="F581" s="22"/>
      <c r="G581" s="22"/>
      <c r="H581" s="22"/>
      <c r="I581" s="22"/>
    </row>
    <row r="582" spans="3:9" ht="15.75" customHeight="1" x14ac:dyDescent="0.2">
      <c r="C582" s="21"/>
      <c r="D582" s="22"/>
      <c r="E582" s="22"/>
      <c r="F582" s="22"/>
      <c r="G582" s="22"/>
      <c r="H582" s="22"/>
      <c r="I582" s="22"/>
    </row>
    <row r="583" spans="3:9" ht="15.75" customHeight="1" x14ac:dyDescent="0.2">
      <c r="C583" s="21"/>
      <c r="D583" s="22"/>
      <c r="E583" s="22"/>
      <c r="F583" s="22"/>
      <c r="G583" s="22"/>
      <c r="H583" s="22"/>
      <c r="I583" s="22"/>
    </row>
    <row r="584" spans="3:9" ht="15.75" customHeight="1" x14ac:dyDescent="0.2">
      <c r="C584" s="21"/>
      <c r="D584" s="22"/>
      <c r="E584" s="22"/>
      <c r="F584" s="22"/>
      <c r="G584" s="22"/>
      <c r="H584" s="22"/>
      <c r="I584" s="22"/>
    </row>
    <row r="585" spans="3:9" ht="15.75" customHeight="1" x14ac:dyDescent="0.2">
      <c r="C585" s="21"/>
      <c r="D585" s="22"/>
      <c r="E585" s="22"/>
      <c r="F585" s="22"/>
      <c r="G585" s="22"/>
      <c r="H585" s="22"/>
      <c r="I585" s="22"/>
    </row>
    <row r="586" spans="3:9" ht="15.75" customHeight="1" x14ac:dyDescent="0.2">
      <c r="C586" s="21"/>
      <c r="D586" s="22"/>
      <c r="E586" s="22"/>
      <c r="F586" s="22"/>
      <c r="G586" s="22"/>
      <c r="H586" s="22"/>
      <c r="I586" s="22"/>
    </row>
    <row r="587" spans="3:9" ht="15.75" customHeight="1" x14ac:dyDescent="0.2">
      <c r="C587" s="21"/>
      <c r="D587" s="22"/>
      <c r="E587" s="22"/>
      <c r="F587" s="22"/>
      <c r="G587" s="22"/>
      <c r="H587" s="22"/>
      <c r="I587" s="22"/>
    </row>
    <row r="588" spans="3:9" ht="15.75" customHeight="1" x14ac:dyDescent="0.2">
      <c r="C588" s="21"/>
      <c r="D588" s="22"/>
      <c r="E588" s="22"/>
      <c r="F588" s="22"/>
      <c r="G588" s="22"/>
      <c r="H588" s="22"/>
      <c r="I588" s="22"/>
    </row>
    <row r="589" spans="3:9" ht="15.75" customHeight="1" x14ac:dyDescent="0.2">
      <c r="C589" s="21"/>
      <c r="D589" s="22"/>
      <c r="E589" s="22"/>
      <c r="F589" s="22"/>
      <c r="G589" s="22"/>
      <c r="H589" s="22"/>
      <c r="I589" s="22"/>
    </row>
    <row r="590" spans="3:9" ht="15.75" customHeight="1" x14ac:dyDescent="0.2">
      <c r="C590" s="21"/>
      <c r="D590" s="22"/>
      <c r="E590" s="22"/>
      <c r="F590" s="22"/>
      <c r="G590" s="22"/>
      <c r="H590" s="22"/>
      <c r="I590" s="22"/>
    </row>
    <row r="591" spans="3:9" ht="15.75" customHeight="1" x14ac:dyDescent="0.2">
      <c r="C591" s="21"/>
      <c r="D591" s="22"/>
      <c r="E591" s="22"/>
      <c r="F591" s="22"/>
      <c r="G591" s="22"/>
      <c r="H591" s="22"/>
      <c r="I591" s="22"/>
    </row>
    <row r="592" spans="3:9" ht="15.75" customHeight="1" x14ac:dyDescent="0.2">
      <c r="C592" s="21"/>
      <c r="D592" s="22"/>
      <c r="E592" s="22"/>
      <c r="F592" s="22"/>
      <c r="G592" s="22"/>
      <c r="H592" s="22"/>
      <c r="I592" s="22"/>
    </row>
    <row r="593" spans="3:9" ht="15.75" customHeight="1" x14ac:dyDescent="0.2">
      <c r="C593" s="21"/>
      <c r="D593" s="22"/>
      <c r="E593" s="22"/>
      <c r="F593" s="22"/>
      <c r="G593" s="22"/>
      <c r="H593" s="22"/>
      <c r="I593" s="22"/>
    </row>
    <row r="594" spans="3:9" ht="15.75" customHeight="1" x14ac:dyDescent="0.2">
      <c r="C594" s="21"/>
      <c r="D594" s="22"/>
      <c r="E594" s="22"/>
      <c r="F594" s="22"/>
      <c r="G594" s="22"/>
      <c r="H594" s="22"/>
      <c r="I594" s="22"/>
    </row>
    <row r="595" spans="3:9" ht="15.75" customHeight="1" x14ac:dyDescent="0.2">
      <c r="C595" s="21"/>
      <c r="D595" s="22"/>
      <c r="E595" s="22"/>
      <c r="F595" s="22"/>
      <c r="G595" s="22"/>
      <c r="H595" s="22"/>
      <c r="I595" s="22"/>
    </row>
    <row r="596" spans="3:9" ht="15.75" customHeight="1" x14ac:dyDescent="0.2">
      <c r="C596" s="21"/>
      <c r="D596" s="22"/>
      <c r="E596" s="22"/>
      <c r="F596" s="22"/>
      <c r="G596" s="22"/>
      <c r="H596" s="22"/>
      <c r="I596" s="22"/>
    </row>
    <row r="597" spans="3:9" ht="15.75" customHeight="1" x14ac:dyDescent="0.2">
      <c r="C597" s="21"/>
      <c r="D597" s="22"/>
      <c r="E597" s="22"/>
      <c r="F597" s="22"/>
      <c r="G597" s="22"/>
      <c r="H597" s="22"/>
      <c r="I597" s="22"/>
    </row>
    <row r="598" spans="3:9" ht="15.75" customHeight="1" x14ac:dyDescent="0.2">
      <c r="C598" s="21"/>
      <c r="D598" s="22"/>
      <c r="E598" s="22"/>
      <c r="F598" s="22"/>
      <c r="G598" s="22"/>
      <c r="H598" s="22"/>
      <c r="I598" s="22"/>
    </row>
    <row r="599" spans="3:9" ht="15.75" customHeight="1" x14ac:dyDescent="0.2">
      <c r="C599" s="21"/>
      <c r="D599" s="22"/>
      <c r="E599" s="22"/>
      <c r="F599" s="22"/>
      <c r="G599" s="22"/>
      <c r="H599" s="22"/>
      <c r="I599" s="22"/>
    </row>
    <row r="600" spans="3:9" ht="15.75" customHeight="1" x14ac:dyDescent="0.2">
      <c r="C600" s="21"/>
      <c r="D600" s="22"/>
      <c r="E600" s="22"/>
      <c r="F600" s="22"/>
      <c r="G600" s="22"/>
      <c r="H600" s="22"/>
      <c r="I600" s="22"/>
    </row>
    <row r="601" spans="3:9" ht="15.75" customHeight="1" x14ac:dyDescent="0.2">
      <c r="C601" s="21"/>
      <c r="D601" s="22"/>
      <c r="E601" s="22"/>
      <c r="F601" s="22"/>
      <c r="G601" s="22"/>
      <c r="H601" s="22"/>
      <c r="I601" s="22"/>
    </row>
    <row r="602" spans="3:9" ht="15.75" customHeight="1" x14ac:dyDescent="0.2">
      <c r="C602" s="21"/>
      <c r="D602" s="22"/>
      <c r="E602" s="22"/>
      <c r="F602" s="22"/>
      <c r="G602" s="22"/>
      <c r="H602" s="22"/>
      <c r="I602" s="22"/>
    </row>
    <row r="603" spans="3:9" ht="15.75" customHeight="1" x14ac:dyDescent="0.2">
      <c r="C603" s="21"/>
      <c r="D603" s="22"/>
      <c r="E603" s="22"/>
      <c r="F603" s="22"/>
      <c r="G603" s="22"/>
      <c r="H603" s="22"/>
      <c r="I603" s="22"/>
    </row>
    <row r="604" spans="3:9" ht="15.75" customHeight="1" x14ac:dyDescent="0.2">
      <c r="C604" s="21"/>
      <c r="D604" s="22"/>
      <c r="E604" s="22"/>
      <c r="F604" s="22"/>
      <c r="G604" s="22"/>
      <c r="H604" s="22"/>
      <c r="I604" s="22"/>
    </row>
    <row r="605" spans="3:9" ht="15.75" customHeight="1" x14ac:dyDescent="0.2">
      <c r="C605" s="21"/>
      <c r="D605" s="22"/>
      <c r="E605" s="22"/>
      <c r="F605" s="22"/>
      <c r="G605" s="22"/>
      <c r="H605" s="22"/>
      <c r="I605" s="22"/>
    </row>
    <row r="606" spans="3:9" ht="15.75" customHeight="1" x14ac:dyDescent="0.2">
      <c r="C606" s="21"/>
      <c r="D606" s="22"/>
      <c r="E606" s="22"/>
      <c r="F606" s="22"/>
      <c r="G606" s="22"/>
      <c r="H606" s="22"/>
      <c r="I606" s="22"/>
    </row>
    <row r="607" spans="3:9" ht="15.75" customHeight="1" x14ac:dyDescent="0.2">
      <c r="C607" s="21"/>
      <c r="D607" s="22"/>
      <c r="E607" s="22"/>
      <c r="F607" s="22"/>
      <c r="G607" s="22"/>
      <c r="H607" s="22"/>
      <c r="I607" s="22"/>
    </row>
    <row r="608" spans="3:9" ht="15.75" customHeight="1" x14ac:dyDescent="0.2">
      <c r="C608" s="21"/>
      <c r="D608" s="22"/>
      <c r="E608" s="22"/>
      <c r="F608" s="22"/>
      <c r="G608" s="22"/>
      <c r="H608" s="22"/>
      <c r="I608" s="22"/>
    </row>
    <row r="609" spans="3:9" ht="15.75" customHeight="1" x14ac:dyDescent="0.2">
      <c r="C609" s="21"/>
      <c r="D609" s="22"/>
      <c r="E609" s="22"/>
      <c r="F609" s="22"/>
      <c r="G609" s="22"/>
      <c r="H609" s="22"/>
      <c r="I609" s="22"/>
    </row>
    <row r="610" spans="3:9" ht="15.75" customHeight="1" x14ac:dyDescent="0.2">
      <c r="C610" s="21"/>
      <c r="D610" s="22"/>
      <c r="E610" s="22"/>
      <c r="F610" s="22"/>
      <c r="G610" s="22"/>
      <c r="H610" s="22"/>
      <c r="I610" s="22"/>
    </row>
    <row r="611" spans="3:9" ht="15.75" customHeight="1" x14ac:dyDescent="0.2">
      <c r="C611" s="21"/>
      <c r="D611" s="22"/>
      <c r="E611" s="22"/>
      <c r="F611" s="22"/>
      <c r="G611" s="22"/>
      <c r="H611" s="22"/>
      <c r="I611" s="22"/>
    </row>
    <row r="612" spans="3:9" ht="15.75" customHeight="1" x14ac:dyDescent="0.2">
      <c r="C612" s="21"/>
      <c r="D612" s="22"/>
      <c r="E612" s="22"/>
      <c r="F612" s="22"/>
      <c r="G612" s="22"/>
      <c r="H612" s="22"/>
      <c r="I612" s="22"/>
    </row>
    <row r="613" spans="3:9" ht="15.75" customHeight="1" x14ac:dyDescent="0.2">
      <c r="C613" s="21"/>
      <c r="D613" s="22"/>
      <c r="E613" s="22"/>
      <c r="F613" s="22"/>
      <c r="G613" s="22"/>
      <c r="H613" s="22"/>
      <c r="I613" s="22"/>
    </row>
    <row r="614" spans="3:9" ht="15.75" customHeight="1" x14ac:dyDescent="0.2">
      <c r="C614" s="21"/>
      <c r="D614" s="22"/>
      <c r="E614" s="22"/>
      <c r="F614" s="22"/>
      <c r="G614" s="22"/>
      <c r="H614" s="22"/>
      <c r="I614" s="22"/>
    </row>
    <row r="615" spans="3:9" ht="15.75" customHeight="1" x14ac:dyDescent="0.2">
      <c r="C615" s="21"/>
      <c r="D615" s="22"/>
      <c r="E615" s="22"/>
      <c r="F615" s="22"/>
      <c r="G615" s="22"/>
      <c r="H615" s="22"/>
      <c r="I615" s="22"/>
    </row>
    <row r="616" spans="3:9" ht="15.75" customHeight="1" x14ac:dyDescent="0.2">
      <c r="C616" s="21"/>
      <c r="D616" s="22"/>
      <c r="E616" s="22"/>
      <c r="F616" s="22"/>
      <c r="G616" s="22"/>
      <c r="H616" s="22"/>
      <c r="I616" s="22"/>
    </row>
    <row r="617" spans="3:9" ht="15.75" customHeight="1" x14ac:dyDescent="0.2">
      <c r="C617" s="21"/>
      <c r="D617" s="22"/>
      <c r="E617" s="22"/>
      <c r="F617" s="22"/>
      <c r="G617" s="22"/>
      <c r="H617" s="22"/>
      <c r="I617" s="22"/>
    </row>
    <row r="618" spans="3:9" ht="15.75" customHeight="1" x14ac:dyDescent="0.2">
      <c r="C618" s="21"/>
      <c r="D618" s="22"/>
      <c r="E618" s="22"/>
      <c r="F618" s="22"/>
      <c r="G618" s="22"/>
      <c r="H618" s="22"/>
      <c r="I618" s="22"/>
    </row>
    <row r="619" spans="3:9" ht="15.75" customHeight="1" x14ac:dyDescent="0.2">
      <c r="C619" s="21"/>
      <c r="D619" s="22"/>
      <c r="E619" s="22"/>
      <c r="F619" s="22"/>
      <c r="G619" s="22"/>
      <c r="H619" s="22"/>
      <c r="I619" s="22"/>
    </row>
    <row r="620" spans="3:9" ht="15.75" customHeight="1" x14ac:dyDescent="0.2">
      <c r="C620" s="21"/>
      <c r="D620" s="22"/>
      <c r="E620" s="22"/>
      <c r="F620" s="22"/>
      <c r="G620" s="22"/>
      <c r="H620" s="22"/>
      <c r="I620" s="22"/>
    </row>
    <row r="621" spans="3:9" ht="15.75" customHeight="1" x14ac:dyDescent="0.2">
      <c r="C621" s="21"/>
      <c r="D621" s="22"/>
      <c r="E621" s="22"/>
      <c r="F621" s="22"/>
      <c r="G621" s="22"/>
      <c r="H621" s="22"/>
      <c r="I621" s="22"/>
    </row>
    <row r="622" spans="3:9" ht="15.75" customHeight="1" x14ac:dyDescent="0.2">
      <c r="C622" s="21"/>
      <c r="D622" s="22"/>
      <c r="E622" s="22"/>
      <c r="F622" s="22"/>
      <c r="G622" s="22"/>
      <c r="H622" s="22"/>
      <c r="I622" s="22"/>
    </row>
    <row r="623" spans="3:9" ht="15.75" customHeight="1" x14ac:dyDescent="0.2">
      <c r="C623" s="21"/>
      <c r="D623" s="22"/>
      <c r="E623" s="22"/>
      <c r="F623" s="22"/>
      <c r="G623" s="22"/>
      <c r="H623" s="22"/>
      <c r="I623" s="22"/>
    </row>
    <row r="624" spans="3:9" ht="15.75" customHeight="1" x14ac:dyDescent="0.2">
      <c r="C624" s="21"/>
      <c r="D624" s="22"/>
      <c r="E624" s="22"/>
      <c r="F624" s="22"/>
      <c r="G624" s="22"/>
      <c r="H624" s="22"/>
      <c r="I624" s="22"/>
    </row>
    <row r="625" spans="3:9" ht="15.75" customHeight="1" x14ac:dyDescent="0.2">
      <c r="C625" s="21"/>
      <c r="D625" s="22"/>
      <c r="E625" s="22"/>
      <c r="F625" s="22"/>
      <c r="G625" s="22"/>
      <c r="H625" s="22"/>
      <c r="I625" s="22"/>
    </row>
    <row r="626" spans="3:9" ht="15.75" customHeight="1" x14ac:dyDescent="0.2">
      <c r="C626" s="21"/>
      <c r="D626" s="22"/>
      <c r="E626" s="22"/>
      <c r="F626" s="22"/>
      <c r="G626" s="22"/>
      <c r="H626" s="22"/>
      <c r="I626" s="22"/>
    </row>
    <row r="627" spans="3:9" ht="15.75" customHeight="1" x14ac:dyDescent="0.2">
      <c r="C627" s="21"/>
      <c r="D627" s="22"/>
      <c r="E627" s="22"/>
      <c r="F627" s="22"/>
      <c r="G627" s="22"/>
      <c r="H627" s="22"/>
      <c r="I627" s="22"/>
    </row>
    <row r="628" spans="3:9" ht="15.75" customHeight="1" x14ac:dyDescent="0.2">
      <c r="C628" s="21"/>
      <c r="D628" s="22"/>
      <c r="E628" s="22"/>
      <c r="F628" s="22"/>
      <c r="G628" s="22"/>
      <c r="H628" s="22"/>
      <c r="I628" s="22"/>
    </row>
    <row r="629" spans="3:9" ht="15.75" customHeight="1" x14ac:dyDescent="0.2">
      <c r="C629" s="21"/>
      <c r="D629" s="22"/>
      <c r="E629" s="22"/>
      <c r="F629" s="22"/>
      <c r="G629" s="22"/>
      <c r="H629" s="22"/>
      <c r="I629" s="22"/>
    </row>
    <row r="630" spans="3:9" ht="15.75" customHeight="1" x14ac:dyDescent="0.2">
      <c r="C630" s="21"/>
      <c r="D630" s="22"/>
      <c r="E630" s="22"/>
      <c r="F630" s="22"/>
      <c r="G630" s="22"/>
      <c r="H630" s="22"/>
      <c r="I630" s="22"/>
    </row>
    <row r="631" spans="3:9" ht="15.75" customHeight="1" x14ac:dyDescent="0.2">
      <c r="C631" s="21"/>
      <c r="D631" s="22"/>
      <c r="E631" s="22"/>
      <c r="F631" s="22"/>
      <c r="G631" s="22"/>
      <c r="H631" s="22"/>
      <c r="I631" s="22"/>
    </row>
    <row r="632" spans="3:9" ht="15.75" customHeight="1" x14ac:dyDescent="0.2">
      <c r="C632" s="21"/>
      <c r="D632" s="22"/>
      <c r="E632" s="22"/>
      <c r="F632" s="22"/>
      <c r="G632" s="22"/>
      <c r="H632" s="22"/>
      <c r="I632" s="22"/>
    </row>
    <row r="633" spans="3:9" ht="15.75" customHeight="1" x14ac:dyDescent="0.2">
      <c r="C633" s="21"/>
      <c r="D633" s="22"/>
      <c r="E633" s="22"/>
      <c r="F633" s="22"/>
      <c r="G633" s="22"/>
      <c r="H633" s="22"/>
      <c r="I633" s="22"/>
    </row>
    <row r="634" spans="3:9" ht="15.75" customHeight="1" x14ac:dyDescent="0.2">
      <c r="C634" s="21"/>
      <c r="D634" s="22"/>
      <c r="E634" s="22"/>
      <c r="F634" s="22"/>
      <c r="G634" s="22"/>
      <c r="H634" s="22"/>
      <c r="I634" s="22"/>
    </row>
    <row r="635" spans="3:9" ht="15.75" customHeight="1" x14ac:dyDescent="0.2">
      <c r="C635" s="21"/>
      <c r="D635" s="22"/>
      <c r="E635" s="22"/>
      <c r="F635" s="22"/>
      <c r="G635" s="22"/>
      <c r="H635" s="22"/>
      <c r="I635" s="22"/>
    </row>
    <row r="636" spans="3:9" ht="15.75" customHeight="1" x14ac:dyDescent="0.2">
      <c r="C636" s="21"/>
      <c r="D636" s="22"/>
      <c r="E636" s="22"/>
      <c r="F636" s="22"/>
      <c r="G636" s="22"/>
      <c r="H636" s="22"/>
      <c r="I636" s="22"/>
    </row>
    <row r="637" spans="3:9" ht="15.75" customHeight="1" x14ac:dyDescent="0.2">
      <c r="C637" s="21"/>
      <c r="D637" s="22"/>
      <c r="E637" s="22"/>
      <c r="F637" s="22"/>
      <c r="G637" s="22"/>
      <c r="H637" s="22"/>
      <c r="I637" s="22"/>
    </row>
    <row r="638" spans="3:9" ht="15.75" customHeight="1" x14ac:dyDescent="0.2">
      <c r="C638" s="21"/>
      <c r="D638" s="22"/>
      <c r="E638" s="22"/>
      <c r="F638" s="22"/>
      <c r="G638" s="22"/>
      <c r="H638" s="22"/>
      <c r="I638" s="22"/>
    </row>
    <row r="639" spans="3:9" ht="15.75" customHeight="1" x14ac:dyDescent="0.2">
      <c r="C639" s="21"/>
      <c r="D639" s="22"/>
      <c r="E639" s="22"/>
      <c r="F639" s="22"/>
      <c r="G639" s="22"/>
      <c r="H639" s="22"/>
      <c r="I639" s="22"/>
    </row>
    <row r="640" spans="3:9" ht="15.75" customHeight="1" x14ac:dyDescent="0.2">
      <c r="C640" s="21"/>
      <c r="D640" s="22"/>
      <c r="E640" s="22"/>
      <c r="F640" s="22"/>
      <c r="G640" s="22"/>
      <c r="H640" s="22"/>
      <c r="I640" s="22"/>
    </row>
    <row r="641" spans="3:9" ht="15.75" customHeight="1" x14ac:dyDescent="0.2">
      <c r="C641" s="21"/>
      <c r="D641" s="22"/>
      <c r="E641" s="22"/>
      <c r="F641" s="22"/>
      <c r="G641" s="22"/>
      <c r="H641" s="22"/>
      <c r="I641" s="22"/>
    </row>
    <row r="642" spans="3:9" ht="15.75" customHeight="1" x14ac:dyDescent="0.2">
      <c r="C642" s="21"/>
      <c r="D642" s="22"/>
      <c r="E642" s="22"/>
      <c r="F642" s="22"/>
      <c r="G642" s="22"/>
      <c r="H642" s="22"/>
      <c r="I642" s="22"/>
    </row>
    <row r="643" spans="3:9" ht="15.75" customHeight="1" x14ac:dyDescent="0.2">
      <c r="C643" s="21"/>
      <c r="D643" s="22"/>
      <c r="E643" s="22"/>
      <c r="F643" s="22"/>
      <c r="G643" s="22"/>
      <c r="H643" s="22"/>
      <c r="I643" s="22"/>
    </row>
    <row r="644" spans="3:9" ht="15.75" customHeight="1" x14ac:dyDescent="0.2">
      <c r="C644" s="21"/>
      <c r="D644" s="22"/>
      <c r="E644" s="22"/>
      <c r="F644" s="22"/>
      <c r="G644" s="22"/>
      <c r="H644" s="22"/>
      <c r="I644" s="22"/>
    </row>
    <row r="645" spans="3:9" ht="15.75" customHeight="1" x14ac:dyDescent="0.2">
      <c r="C645" s="21"/>
      <c r="D645" s="22"/>
      <c r="E645" s="22"/>
      <c r="F645" s="22"/>
      <c r="G645" s="22"/>
      <c r="H645" s="22"/>
      <c r="I645" s="22"/>
    </row>
    <row r="646" spans="3:9" ht="15.75" customHeight="1" x14ac:dyDescent="0.2">
      <c r="C646" s="21"/>
      <c r="D646" s="22"/>
      <c r="E646" s="22"/>
      <c r="F646" s="22"/>
      <c r="G646" s="22"/>
      <c r="H646" s="22"/>
      <c r="I646" s="22"/>
    </row>
    <row r="647" spans="3:9" ht="15.75" customHeight="1" x14ac:dyDescent="0.2">
      <c r="C647" s="21"/>
      <c r="D647" s="22"/>
      <c r="E647" s="22"/>
      <c r="F647" s="22"/>
      <c r="G647" s="22"/>
      <c r="H647" s="22"/>
      <c r="I647" s="22"/>
    </row>
    <row r="648" spans="3:9" ht="15.75" customHeight="1" x14ac:dyDescent="0.2">
      <c r="C648" s="21"/>
      <c r="D648" s="22"/>
      <c r="E648" s="22"/>
      <c r="F648" s="22"/>
      <c r="G648" s="22"/>
      <c r="H648" s="22"/>
      <c r="I648" s="22"/>
    </row>
    <row r="649" spans="3:9" ht="15.75" customHeight="1" x14ac:dyDescent="0.2">
      <c r="C649" s="21"/>
      <c r="D649" s="22"/>
      <c r="E649" s="22"/>
      <c r="F649" s="22"/>
      <c r="G649" s="22"/>
      <c r="H649" s="22"/>
      <c r="I649" s="22"/>
    </row>
    <row r="650" spans="3:9" ht="15.75" customHeight="1" x14ac:dyDescent="0.2">
      <c r="C650" s="21"/>
      <c r="D650" s="22"/>
      <c r="E650" s="22"/>
      <c r="F650" s="22"/>
      <c r="G650" s="22"/>
      <c r="H650" s="22"/>
      <c r="I650" s="22"/>
    </row>
    <row r="651" spans="3:9" ht="15.75" customHeight="1" x14ac:dyDescent="0.2">
      <c r="C651" s="21"/>
      <c r="D651" s="22"/>
      <c r="E651" s="22"/>
      <c r="F651" s="22"/>
      <c r="G651" s="22"/>
      <c r="H651" s="22"/>
      <c r="I651" s="22"/>
    </row>
    <row r="652" spans="3:9" ht="15.75" customHeight="1" x14ac:dyDescent="0.2">
      <c r="C652" s="21"/>
      <c r="D652" s="22"/>
      <c r="E652" s="22"/>
      <c r="F652" s="22"/>
      <c r="G652" s="22"/>
      <c r="H652" s="22"/>
      <c r="I652" s="22"/>
    </row>
    <row r="653" spans="3:9" ht="15.75" customHeight="1" x14ac:dyDescent="0.2">
      <c r="C653" s="21"/>
      <c r="D653" s="22"/>
      <c r="E653" s="22"/>
      <c r="F653" s="22"/>
      <c r="G653" s="22"/>
      <c r="H653" s="22"/>
      <c r="I653" s="22"/>
    </row>
    <row r="654" spans="3:9" ht="15.75" customHeight="1" x14ac:dyDescent="0.2">
      <c r="C654" s="21"/>
      <c r="D654" s="22"/>
      <c r="E654" s="22"/>
      <c r="F654" s="22"/>
      <c r="G654" s="22"/>
      <c r="H654" s="22"/>
      <c r="I654" s="22"/>
    </row>
    <row r="655" spans="3:9" ht="15.75" customHeight="1" x14ac:dyDescent="0.2">
      <c r="C655" s="21"/>
      <c r="D655" s="22"/>
      <c r="E655" s="22"/>
      <c r="F655" s="22"/>
      <c r="G655" s="22"/>
      <c r="H655" s="22"/>
      <c r="I655" s="22"/>
    </row>
    <row r="656" spans="3:9" ht="15.75" customHeight="1" x14ac:dyDescent="0.2">
      <c r="C656" s="21"/>
      <c r="D656" s="22"/>
      <c r="E656" s="22"/>
      <c r="F656" s="22"/>
      <c r="G656" s="22"/>
      <c r="H656" s="22"/>
      <c r="I656" s="22"/>
    </row>
    <row r="657" spans="3:9" ht="15.75" customHeight="1" x14ac:dyDescent="0.2">
      <c r="C657" s="21"/>
      <c r="D657" s="22"/>
      <c r="E657" s="22"/>
      <c r="F657" s="22"/>
      <c r="G657" s="22"/>
      <c r="H657" s="22"/>
      <c r="I657" s="22"/>
    </row>
    <row r="658" spans="3:9" ht="15.75" customHeight="1" x14ac:dyDescent="0.2">
      <c r="C658" s="21"/>
      <c r="D658" s="22"/>
      <c r="E658" s="22"/>
      <c r="F658" s="22"/>
      <c r="G658" s="22"/>
      <c r="H658" s="22"/>
      <c r="I658" s="22"/>
    </row>
    <row r="659" spans="3:9" ht="15.75" customHeight="1" x14ac:dyDescent="0.2">
      <c r="C659" s="21"/>
      <c r="D659" s="22"/>
      <c r="E659" s="22"/>
      <c r="F659" s="22"/>
      <c r="G659" s="22"/>
      <c r="H659" s="22"/>
      <c r="I659" s="22"/>
    </row>
    <row r="660" spans="3:9" ht="15.75" customHeight="1" x14ac:dyDescent="0.2">
      <c r="C660" s="21"/>
      <c r="D660" s="22"/>
      <c r="E660" s="22"/>
      <c r="F660" s="22"/>
      <c r="G660" s="22"/>
      <c r="H660" s="22"/>
      <c r="I660" s="22"/>
    </row>
    <row r="661" spans="3:9" ht="15.75" customHeight="1" x14ac:dyDescent="0.2">
      <c r="C661" s="21"/>
      <c r="D661" s="22"/>
      <c r="E661" s="22"/>
      <c r="F661" s="22"/>
      <c r="G661" s="22"/>
      <c r="H661" s="22"/>
      <c r="I661" s="22"/>
    </row>
    <row r="662" spans="3:9" ht="15.75" customHeight="1" x14ac:dyDescent="0.2">
      <c r="C662" s="21"/>
      <c r="D662" s="22"/>
      <c r="E662" s="22"/>
      <c r="F662" s="22"/>
      <c r="G662" s="22"/>
      <c r="H662" s="22"/>
      <c r="I662" s="22"/>
    </row>
    <row r="663" spans="3:9" ht="15.75" customHeight="1" x14ac:dyDescent="0.2">
      <c r="C663" s="21"/>
      <c r="D663" s="22"/>
      <c r="E663" s="22"/>
      <c r="F663" s="22"/>
      <c r="G663" s="22"/>
      <c r="H663" s="22"/>
      <c r="I663" s="22"/>
    </row>
    <row r="664" spans="3:9" ht="15.75" customHeight="1" x14ac:dyDescent="0.2">
      <c r="C664" s="21"/>
      <c r="D664" s="22"/>
      <c r="E664" s="22"/>
      <c r="F664" s="22"/>
      <c r="G664" s="22"/>
      <c r="H664" s="22"/>
      <c r="I664" s="22"/>
    </row>
    <row r="665" spans="3:9" ht="15.75" customHeight="1" x14ac:dyDescent="0.2">
      <c r="C665" s="21"/>
      <c r="D665" s="22"/>
      <c r="E665" s="22"/>
      <c r="F665" s="22"/>
      <c r="G665" s="22"/>
      <c r="H665" s="22"/>
      <c r="I665" s="22"/>
    </row>
    <row r="666" spans="3:9" ht="15.75" customHeight="1" x14ac:dyDescent="0.2">
      <c r="C666" s="21"/>
      <c r="D666" s="22"/>
      <c r="E666" s="22"/>
      <c r="F666" s="22"/>
      <c r="G666" s="22"/>
      <c r="H666" s="22"/>
      <c r="I666" s="22"/>
    </row>
    <row r="667" spans="3:9" ht="15.75" customHeight="1" x14ac:dyDescent="0.2">
      <c r="C667" s="21"/>
      <c r="D667" s="22"/>
      <c r="E667" s="22"/>
      <c r="F667" s="22"/>
      <c r="G667" s="22"/>
      <c r="H667" s="22"/>
      <c r="I667" s="22"/>
    </row>
    <row r="668" spans="3:9" ht="15.75" customHeight="1" x14ac:dyDescent="0.2">
      <c r="C668" s="21"/>
      <c r="D668" s="22"/>
      <c r="E668" s="22"/>
      <c r="F668" s="22"/>
      <c r="G668" s="22"/>
      <c r="H668" s="22"/>
      <c r="I668" s="22"/>
    </row>
    <row r="669" spans="3:9" ht="15.75" customHeight="1" x14ac:dyDescent="0.2">
      <c r="C669" s="21"/>
      <c r="D669" s="22"/>
      <c r="E669" s="22"/>
      <c r="F669" s="22"/>
      <c r="G669" s="22"/>
      <c r="H669" s="22"/>
      <c r="I669" s="22"/>
    </row>
    <row r="670" spans="3:9" ht="15.75" customHeight="1" x14ac:dyDescent="0.2">
      <c r="C670" s="21"/>
      <c r="D670" s="22"/>
      <c r="E670" s="22"/>
      <c r="F670" s="22"/>
      <c r="G670" s="22"/>
      <c r="H670" s="22"/>
      <c r="I670" s="22"/>
    </row>
    <row r="671" spans="3:9" ht="15.75" customHeight="1" x14ac:dyDescent="0.2">
      <c r="C671" s="21"/>
      <c r="D671" s="22"/>
      <c r="E671" s="22"/>
      <c r="F671" s="22"/>
      <c r="G671" s="22"/>
      <c r="H671" s="22"/>
      <c r="I671" s="22"/>
    </row>
    <row r="672" spans="3:9" ht="15.75" customHeight="1" x14ac:dyDescent="0.2">
      <c r="C672" s="21"/>
      <c r="D672" s="22"/>
      <c r="E672" s="22"/>
      <c r="F672" s="22"/>
      <c r="G672" s="22"/>
      <c r="H672" s="22"/>
      <c r="I672" s="22"/>
    </row>
    <row r="673" spans="3:9" ht="15.75" customHeight="1" x14ac:dyDescent="0.2">
      <c r="C673" s="21"/>
      <c r="D673" s="22"/>
      <c r="E673" s="22"/>
      <c r="F673" s="22"/>
      <c r="G673" s="22"/>
      <c r="H673" s="22"/>
      <c r="I673" s="22"/>
    </row>
    <row r="674" spans="3:9" ht="15.75" customHeight="1" x14ac:dyDescent="0.2">
      <c r="C674" s="21"/>
      <c r="D674" s="22"/>
      <c r="E674" s="22"/>
      <c r="F674" s="22"/>
      <c r="G674" s="22"/>
      <c r="H674" s="22"/>
      <c r="I674" s="22"/>
    </row>
    <row r="675" spans="3:9" ht="15.75" customHeight="1" x14ac:dyDescent="0.2">
      <c r="C675" s="21"/>
      <c r="D675" s="22"/>
      <c r="E675" s="22"/>
      <c r="F675" s="22"/>
      <c r="G675" s="22"/>
      <c r="H675" s="22"/>
      <c r="I675" s="22"/>
    </row>
    <row r="676" spans="3:9" ht="15.75" customHeight="1" x14ac:dyDescent="0.2">
      <c r="C676" s="21"/>
      <c r="D676" s="22"/>
      <c r="E676" s="22"/>
      <c r="F676" s="22"/>
      <c r="G676" s="22"/>
      <c r="H676" s="22"/>
      <c r="I676" s="22"/>
    </row>
    <row r="677" spans="3:9" ht="15.75" customHeight="1" x14ac:dyDescent="0.2">
      <c r="C677" s="21"/>
      <c r="D677" s="22"/>
      <c r="E677" s="22"/>
      <c r="F677" s="22"/>
      <c r="G677" s="22"/>
      <c r="H677" s="22"/>
      <c r="I677" s="22"/>
    </row>
    <row r="678" spans="3:9" ht="15.75" customHeight="1" x14ac:dyDescent="0.2">
      <c r="C678" s="21"/>
      <c r="D678" s="22"/>
      <c r="E678" s="22"/>
      <c r="F678" s="22"/>
      <c r="G678" s="22"/>
      <c r="H678" s="22"/>
      <c r="I678" s="22"/>
    </row>
    <row r="679" spans="3:9" ht="15.75" customHeight="1" x14ac:dyDescent="0.2">
      <c r="C679" s="21"/>
      <c r="D679" s="22"/>
      <c r="E679" s="22"/>
      <c r="F679" s="22"/>
      <c r="G679" s="22"/>
      <c r="H679" s="22"/>
      <c r="I679" s="22"/>
    </row>
    <row r="680" spans="3:9" ht="15.75" customHeight="1" x14ac:dyDescent="0.2">
      <c r="C680" s="21"/>
      <c r="D680" s="22"/>
      <c r="E680" s="22"/>
      <c r="F680" s="22"/>
      <c r="G680" s="22"/>
      <c r="H680" s="22"/>
      <c r="I680" s="22"/>
    </row>
    <row r="681" spans="3:9" ht="15.75" customHeight="1" x14ac:dyDescent="0.2">
      <c r="C681" s="21"/>
      <c r="D681" s="22"/>
      <c r="E681" s="22"/>
      <c r="F681" s="22"/>
      <c r="G681" s="22"/>
      <c r="H681" s="22"/>
      <c r="I681" s="22"/>
    </row>
    <row r="682" spans="3:9" ht="15.75" customHeight="1" x14ac:dyDescent="0.2">
      <c r="C682" s="21"/>
      <c r="D682" s="22"/>
      <c r="E682" s="22"/>
      <c r="F682" s="22"/>
      <c r="G682" s="22"/>
      <c r="H682" s="22"/>
      <c r="I682" s="22"/>
    </row>
    <row r="683" spans="3:9" ht="15.75" customHeight="1" x14ac:dyDescent="0.2">
      <c r="C683" s="21"/>
      <c r="D683" s="22"/>
      <c r="E683" s="22"/>
      <c r="F683" s="22"/>
      <c r="G683" s="22"/>
      <c r="H683" s="22"/>
      <c r="I683" s="22"/>
    </row>
    <row r="684" spans="3:9" ht="15.75" customHeight="1" x14ac:dyDescent="0.2">
      <c r="C684" s="21"/>
      <c r="D684" s="22"/>
      <c r="E684" s="22"/>
      <c r="F684" s="22"/>
      <c r="G684" s="22"/>
      <c r="H684" s="22"/>
      <c r="I684" s="22"/>
    </row>
    <row r="685" spans="3:9" ht="15.75" customHeight="1" x14ac:dyDescent="0.2">
      <c r="C685" s="21"/>
      <c r="D685" s="22"/>
      <c r="E685" s="22"/>
      <c r="F685" s="22"/>
      <c r="G685" s="22"/>
      <c r="H685" s="22"/>
      <c r="I685" s="22"/>
    </row>
    <row r="686" spans="3:9" ht="15.75" customHeight="1" x14ac:dyDescent="0.2">
      <c r="C686" s="21"/>
      <c r="D686" s="22"/>
      <c r="E686" s="22"/>
      <c r="F686" s="22"/>
      <c r="G686" s="22"/>
      <c r="H686" s="22"/>
      <c r="I686" s="22"/>
    </row>
    <row r="687" spans="3:9" ht="15.75" customHeight="1" x14ac:dyDescent="0.2">
      <c r="C687" s="21"/>
      <c r="D687" s="22"/>
      <c r="E687" s="22"/>
      <c r="F687" s="22"/>
      <c r="G687" s="22"/>
      <c r="H687" s="22"/>
      <c r="I687" s="22"/>
    </row>
    <row r="688" spans="3:9" ht="15.75" customHeight="1" x14ac:dyDescent="0.2">
      <c r="C688" s="21"/>
      <c r="D688" s="22"/>
      <c r="E688" s="22"/>
      <c r="F688" s="22"/>
      <c r="G688" s="22"/>
      <c r="H688" s="22"/>
      <c r="I688" s="22"/>
    </row>
    <row r="689" spans="3:9" ht="15.75" customHeight="1" x14ac:dyDescent="0.2">
      <c r="C689" s="21"/>
      <c r="D689" s="22"/>
      <c r="E689" s="22"/>
      <c r="F689" s="22"/>
      <c r="G689" s="22"/>
      <c r="H689" s="22"/>
      <c r="I689" s="22"/>
    </row>
    <row r="690" spans="3:9" ht="15.75" customHeight="1" x14ac:dyDescent="0.2">
      <c r="C690" s="21"/>
      <c r="D690" s="22"/>
      <c r="E690" s="22"/>
      <c r="F690" s="22"/>
      <c r="G690" s="22"/>
      <c r="H690" s="22"/>
      <c r="I690" s="22"/>
    </row>
    <row r="691" spans="3:9" ht="15.75" customHeight="1" x14ac:dyDescent="0.2">
      <c r="C691" s="21"/>
      <c r="D691" s="22"/>
      <c r="E691" s="22"/>
      <c r="F691" s="22"/>
      <c r="G691" s="22"/>
      <c r="H691" s="22"/>
      <c r="I691" s="22"/>
    </row>
    <row r="692" spans="3:9" ht="15.75" customHeight="1" x14ac:dyDescent="0.2">
      <c r="C692" s="21"/>
      <c r="D692" s="22"/>
      <c r="E692" s="22"/>
      <c r="F692" s="22"/>
      <c r="G692" s="22"/>
      <c r="H692" s="22"/>
      <c r="I692" s="22"/>
    </row>
    <row r="693" spans="3:9" ht="15.75" customHeight="1" x14ac:dyDescent="0.2">
      <c r="C693" s="21"/>
      <c r="D693" s="22"/>
      <c r="E693" s="22"/>
      <c r="F693" s="22"/>
      <c r="G693" s="22"/>
      <c r="H693" s="22"/>
      <c r="I693" s="22"/>
    </row>
    <row r="694" spans="3:9" ht="15.75" customHeight="1" x14ac:dyDescent="0.2">
      <c r="C694" s="21"/>
      <c r="D694" s="22"/>
      <c r="E694" s="22"/>
      <c r="F694" s="22"/>
      <c r="G694" s="22"/>
      <c r="H694" s="22"/>
      <c r="I694" s="22"/>
    </row>
    <row r="695" spans="3:9" ht="15.75" customHeight="1" x14ac:dyDescent="0.2">
      <c r="C695" s="21"/>
      <c r="D695" s="22"/>
      <c r="E695" s="22"/>
      <c r="F695" s="22"/>
      <c r="G695" s="22"/>
      <c r="H695" s="22"/>
      <c r="I695" s="22"/>
    </row>
    <row r="696" spans="3:9" ht="15.75" customHeight="1" x14ac:dyDescent="0.2">
      <c r="C696" s="21"/>
      <c r="D696" s="22"/>
      <c r="E696" s="22"/>
      <c r="F696" s="22"/>
      <c r="G696" s="22"/>
      <c r="H696" s="22"/>
      <c r="I696" s="22"/>
    </row>
    <row r="697" spans="3:9" ht="15.75" customHeight="1" x14ac:dyDescent="0.2">
      <c r="C697" s="21"/>
      <c r="D697" s="22"/>
      <c r="E697" s="22"/>
      <c r="F697" s="22"/>
      <c r="G697" s="22"/>
      <c r="H697" s="22"/>
      <c r="I697" s="22"/>
    </row>
    <row r="698" spans="3:9" ht="15.75" customHeight="1" x14ac:dyDescent="0.2">
      <c r="C698" s="21"/>
      <c r="D698" s="22"/>
      <c r="E698" s="22"/>
      <c r="F698" s="22"/>
      <c r="G698" s="22"/>
      <c r="H698" s="22"/>
      <c r="I698" s="22"/>
    </row>
    <row r="699" spans="3:9" ht="15.75" customHeight="1" x14ac:dyDescent="0.2">
      <c r="C699" s="21"/>
      <c r="D699" s="22"/>
      <c r="E699" s="22"/>
      <c r="F699" s="22"/>
      <c r="G699" s="22"/>
      <c r="H699" s="22"/>
      <c r="I699" s="22"/>
    </row>
    <row r="700" spans="3:9" ht="15.75" customHeight="1" x14ac:dyDescent="0.2">
      <c r="C700" s="21"/>
      <c r="D700" s="22"/>
      <c r="E700" s="22"/>
      <c r="F700" s="22"/>
      <c r="G700" s="22"/>
      <c r="H700" s="22"/>
      <c r="I700" s="22"/>
    </row>
    <row r="701" spans="3:9" ht="15.75" customHeight="1" x14ac:dyDescent="0.2">
      <c r="C701" s="21"/>
      <c r="D701" s="22"/>
      <c r="E701" s="22"/>
      <c r="F701" s="22"/>
      <c r="G701" s="22"/>
      <c r="H701" s="22"/>
      <c r="I701" s="22"/>
    </row>
    <row r="702" spans="3:9" ht="15.75" customHeight="1" x14ac:dyDescent="0.2">
      <c r="C702" s="21"/>
      <c r="D702" s="22"/>
      <c r="E702" s="22"/>
      <c r="F702" s="22"/>
      <c r="G702" s="22"/>
      <c r="H702" s="22"/>
      <c r="I702" s="22"/>
    </row>
    <row r="703" spans="3:9" ht="15.75" customHeight="1" x14ac:dyDescent="0.2">
      <c r="C703" s="21"/>
      <c r="D703" s="22"/>
      <c r="E703" s="22"/>
      <c r="F703" s="22"/>
      <c r="G703" s="22"/>
      <c r="H703" s="22"/>
      <c r="I703" s="22"/>
    </row>
    <row r="704" spans="3:9" ht="15.75" customHeight="1" x14ac:dyDescent="0.2">
      <c r="C704" s="21"/>
      <c r="D704" s="22"/>
      <c r="E704" s="22"/>
      <c r="F704" s="22"/>
      <c r="G704" s="22"/>
      <c r="H704" s="22"/>
      <c r="I704" s="22"/>
    </row>
    <row r="705" spans="3:9" ht="15.75" customHeight="1" x14ac:dyDescent="0.2">
      <c r="C705" s="21"/>
      <c r="D705" s="22"/>
      <c r="E705" s="22"/>
      <c r="F705" s="22"/>
      <c r="G705" s="22"/>
      <c r="H705" s="22"/>
      <c r="I705" s="22"/>
    </row>
    <row r="706" spans="3:9" ht="15.75" customHeight="1" x14ac:dyDescent="0.2">
      <c r="C706" s="21"/>
      <c r="D706" s="22"/>
      <c r="E706" s="22"/>
      <c r="F706" s="22"/>
      <c r="G706" s="22"/>
      <c r="H706" s="22"/>
      <c r="I706" s="22"/>
    </row>
    <row r="707" spans="3:9" ht="15.75" customHeight="1" x14ac:dyDescent="0.2">
      <c r="C707" s="21"/>
      <c r="D707" s="22"/>
      <c r="E707" s="22"/>
      <c r="F707" s="22"/>
      <c r="G707" s="22"/>
      <c r="H707" s="22"/>
      <c r="I707" s="22"/>
    </row>
    <row r="708" spans="3:9" ht="15.75" customHeight="1" x14ac:dyDescent="0.2">
      <c r="C708" s="21"/>
      <c r="D708" s="22"/>
      <c r="E708" s="22"/>
      <c r="F708" s="22"/>
      <c r="G708" s="22"/>
      <c r="H708" s="22"/>
      <c r="I708" s="22"/>
    </row>
    <row r="709" spans="3:9" ht="15.75" customHeight="1" x14ac:dyDescent="0.2">
      <c r="C709" s="21"/>
      <c r="D709" s="22"/>
      <c r="E709" s="22"/>
      <c r="F709" s="22"/>
      <c r="G709" s="22"/>
      <c r="H709" s="22"/>
      <c r="I709" s="22"/>
    </row>
    <row r="710" spans="3:9" ht="15.75" customHeight="1" x14ac:dyDescent="0.2">
      <c r="C710" s="21"/>
      <c r="D710" s="22"/>
      <c r="E710" s="22"/>
      <c r="F710" s="22"/>
      <c r="G710" s="22"/>
      <c r="H710" s="22"/>
      <c r="I710" s="22"/>
    </row>
    <row r="711" spans="3:9" ht="15.75" customHeight="1" x14ac:dyDescent="0.2">
      <c r="C711" s="21"/>
      <c r="D711" s="22"/>
      <c r="E711" s="22"/>
      <c r="F711" s="22"/>
      <c r="G711" s="22"/>
      <c r="H711" s="22"/>
      <c r="I711" s="22"/>
    </row>
    <row r="712" spans="3:9" ht="15.75" customHeight="1" x14ac:dyDescent="0.2">
      <c r="C712" s="21"/>
      <c r="D712" s="22"/>
      <c r="E712" s="22"/>
      <c r="F712" s="22"/>
      <c r="G712" s="22"/>
      <c r="H712" s="22"/>
      <c r="I712" s="22"/>
    </row>
    <row r="713" spans="3:9" ht="15.75" customHeight="1" x14ac:dyDescent="0.2">
      <c r="C713" s="21"/>
      <c r="D713" s="22"/>
      <c r="E713" s="22"/>
      <c r="F713" s="22"/>
      <c r="G713" s="22"/>
      <c r="H713" s="22"/>
      <c r="I713" s="22"/>
    </row>
    <row r="714" spans="3:9" ht="15.75" customHeight="1" x14ac:dyDescent="0.2">
      <c r="C714" s="21"/>
      <c r="D714" s="22"/>
      <c r="E714" s="22"/>
      <c r="F714" s="22"/>
      <c r="G714" s="22"/>
      <c r="H714" s="22"/>
      <c r="I714" s="22"/>
    </row>
    <row r="715" spans="3:9" ht="15.75" customHeight="1" x14ac:dyDescent="0.2">
      <c r="C715" s="21"/>
      <c r="D715" s="22"/>
      <c r="E715" s="22"/>
      <c r="F715" s="22"/>
      <c r="G715" s="22"/>
      <c r="H715" s="22"/>
      <c r="I715" s="22"/>
    </row>
    <row r="716" spans="3:9" ht="15.75" customHeight="1" x14ac:dyDescent="0.2">
      <c r="C716" s="21"/>
      <c r="D716" s="22"/>
      <c r="E716" s="22"/>
      <c r="F716" s="22"/>
      <c r="G716" s="22"/>
      <c r="H716" s="22"/>
      <c r="I716" s="22"/>
    </row>
    <row r="717" spans="3:9" ht="15.75" customHeight="1" x14ac:dyDescent="0.2">
      <c r="C717" s="21"/>
      <c r="D717" s="22"/>
      <c r="E717" s="22"/>
      <c r="F717" s="22"/>
      <c r="G717" s="22"/>
      <c r="H717" s="22"/>
      <c r="I717" s="22"/>
    </row>
    <row r="718" spans="3:9" ht="15.75" customHeight="1" x14ac:dyDescent="0.2">
      <c r="C718" s="21"/>
      <c r="D718" s="22"/>
      <c r="E718" s="22"/>
      <c r="F718" s="22"/>
      <c r="G718" s="22"/>
      <c r="H718" s="22"/>
      <c r="I718" s="22"/>
    </row>
    <row r="719" spans="3:9" ht="15.75" customHeight="1" x14ac:dyDescent="0.2">
      <c r="C719" s="21"/>
      <c r="D719" s="22"/>
      <c r="E719" s="22"/>
      <c r="F719" s="22"/>
      <c r="G719" s="22"/>
      <c r="H719" s="22"/>
      <c r="I719" s="22"/>
    </row>
    <row r="720" spans="3:9" ht="15.75" customHeight="1" x14ac:dyDescent="0.2">
      <c r="C720" s="21"/>
      <c r="D720" s="22"/>
      <c r="E720" s="22"/>
      <c r="F720" s="22"/>
      <c r="G720" s="22"/>
      <c r="H720" s="22"/>
      <c r="I720" s="22"/>
    </row>
    <row r="721" spans="3:9" ht="15.75" customHeight="1" x14ac:dyDescent="0.2">
      <c r="C721" s="21"/>
      <c r="D721" s="22"/>
      <c r="E721" s="22"/>
      <c r="F721" s="22"/>
      <c r="G721" s="22"/>
      <c r="H721" s="22"/>
      <c r="I721" s="22"/>
    </row>
    <row r="722" spans="3:9" ht="15.75" customHeight="1" x14ac:dyDescent="0.2">
      <c r="C722" s="21"/>
      <c r="D722" s="22"/>
      <c r="E722" s="22"/>
      <c r="F722" s="22"/>
      <c r="G722" s="22"/>
      <c r="H722" s="22"/>
      <c r="I722" s="22"/>
    </row>
    <row r="723" spans="3:9" ht="15.75" customHeight="1" x14ac:dyDescent="0.2">
      <c r="C723" s="21"/>
      <c r="D723" s="22"/>
      <c r="E723" s="22"/>
      <c r="F723" s="22"/>
      <c r="G723" s="22"/>
      <c r="H723" s="22"/>
      <c r="I723" s="22"/>
    </row>
    <row r="724" spans="3:9" ht="15.75" customHeight="1" x14ac:dyDescent="0.2">
      <c r="C724" s="21"/>
      <c r="D724" s="22"/>
      <c r="E724" s="22"/>
      <c r="F724" s="22"/>
      <c r="G724" s="22"/>
      <c r="H724" s="22"/>
      <c r="I724" s="22"/>
    </row>
    <row r="725" spans="3:9" ht="15.75" customHeight="1" x14ac:dyDescent="0.2">
      <c r="C725" s="21"/>
      <c r="D725" s="22"/>
      <c r="E725" s="22"/>
      <c r="F725" s="22"/>
      <c r="G725" s="22"/>
      <c r="H725" s="22"/>
      <c r="I725" s="22"/>
    </row>
    <row r="726" spans="3:9" ht="15.75" customHeight="1" x14ac:dyDescent="0.2">
      <c r="C726" s="21"/>
      <c r="D726" s="22"/>
      <c r="E726" s="22"/>
      <c r="F726" s="22"/>
      <c r="G726" s="22"/>
      <c r="H726" s="22"/>
      <c r="I726" s="22"/>
    </row>
    <row r="727" spans="3:9" ht="15.75" customHeight="1" x14ac:dyDescent="0.2">
      <c r="C727" s="21"/>
      <c r="D727" s="22"/>
      <c r="E727" s="22"/>
      <c r="F727" s="22"/>
      <c r="G727" s="22"/>
      <c r="H727" s="22"/>
      <c r="I727" s="22"/>
    </row>
    <row r="728" spans="3:9" ht="15.75" customHeight="1" x14ac:dyDescent="0.2">
      <c r="C728" s="21"/>
      <c r="D728" s="22"/>
      <c r="E728" s="22"/>
      <c r="F728" s="22"/>
      <c r="G728" s="22"/>
      <c r="H728" s="22"/>
      <c r="I728" s="22"/>
    </row>
    <row r="729" spans="3:9" ht="15.75" customHeight="1" x14ac:dyDescent="0.2">
      <c r="C729" s="21"/>
      <c r="D729" s="22"/>
      <c r="E729" s="22"/>
      <c r="F729" s="22"/>
      <c r="G729" s="22"/>
      <c r="H729" s="22"/>
      <c r="I729" s="22"/>
    </row>
    <row r="730" spans="3:9" ht="15.75" customHeight="1" x14ac:dyDescent="0.2">
      <c r="C730" s="21"/>
      <c r="D730" s="22"/>
      <c r="E730" s="22"/>
      <c r="F730" s="22"/>
      <c r="G730" s="22"/>
      <c r="H730" s="22"/>
      <c r="I730" s="22"/>
    </row>
    <row r="731" spans="3:9" ht="15.75" customHeight="1" x14ac:dyDescent="0.2">
      <c r="C731" s="21"/>
      <c r="D731" s="22"/>
      <c r="E731" s="22"/>
      <c r="F731" s="22"/>
      <c r="G731" s="22"/>
      <c r="H731" s="22"/>
      <c r="I731" s="22"/>
    </row>
    <row r="732" spans="3:9" ht="15.75" customHeight="1" x14ac:dyDescent="0.2">
      <c r="C732" s="21"/>
      <c r="D732" s="22"/>
      <c r="E732" s="22"/>
      <c r="F732" s="22"/>
      <c r="G732" s="22"/>
      <c r="H732" s="22"/>
      <c r="I732" s="22"/>
    </row>
    <row r="733" spans="3:9" ht="15.75" customHeight="1" x14ac:dyDescent="0.2">
      <c r="C733" s="21"/>
      <c r="D733" s="22"/>
      <c r="E733" s="22"/>
      <c r="F733" s="22"/>
      <c r="G733" s="22"/>
      <c r="H733" s="22"/>
      <c r="I733" s="22"/>
    </row>
    <row r="734" spans="3:9" ht="15.75" customHeight="1" x14ac:dyDescent="0.2">
      <c r="C734" s="21"/>
      <c r="D734" s="22"/>
      <c r="E734" s="22"/>
      <c r="F734" s="22"/>
      <c r="G734" s="22"/>
      <c r="H734" s="22"/>
      <c r="I734" s="22"/>
    </row>
    <row r="735" spans="3:9" ht="15.75" customHeight="1" x14ac:dyDescent="0.2">
      <c r="C735" s="21"/>
      <c r="D735" s="22"/>
      <c r="E735" s="22"/>
      <c r="F735" s="22"/>
      <c r="G735" s="22"/>
      <c r="H735" s="22"/>
      <c r="I735" s="22"/>
    </row>
    <row r="736" spans="3:9" ht="15.75" customHeight="1" x14ac:dyDescent="0.2">
      <c r="C736" s="21"/>
      <c r="D736" s="22"/>
      <c r="E736" s="22"/>
      <c r="F736" s="22"/>
      <c r="G736" s="22"/>
      <c r="H736" s="22"/>
      <c r="I736" s="22"/>
    </row>
    <row r="737" spans="3:9" ht="15.75" customHeight="1" x14ac:dyDescent="0.2">
      <c r="C737" s="21"/>
      <c r="D737" s="22"/>
      <c r="E737" s="22"/>
      <c r="F737" s="22"/>
      <c r="G737" s="22"/>
      <c r="H737" s="22"/>
      <c r="I737" s="22"/>
    </row>
    <row r="738" spans="3:9" ht="15.75" customHeight="1" x14ac:dyDescent="0.2">
      <c r="C738" s="21"/>
      <c r="D738" s="22"/>
      <c r="E738" s="22"/>
      <c r="F738" s="22"/>
      <c r="G738" s="22"/>
      <c r="H738" s="22"/>
      <c r="I738" s="22"/>
    </row>
    <row r="739" spans="3:9" ht="15.75" customHeight="1" x14ac:dyDescent="0.2">
      <c r="C739" s="21"/>
      <c r="D739" s="22"/>
      <c r="E739" s="22"/>
      <c r="F739" s="22"/>
      <c r="G739" s="22"/>
      <c r="H739" s="22"/>
      <c r="I739" s="22"/>
    </row>
    <row r="740" spans="3:9" ht="15.75" customHeight="1" x14ac:dyDescent="0.2">
      <c r="C740" s="21"/>
      <c r="D740" s="22"/>
      <c r="E740" s="22"/>
      <c r="F740" s="22"/>
      <c r="G740" s="22"/>
      <c r="H740" s="22"/>
      <c r="I740" s="22"/>
    </row>
    <row r="741" spans="3:9" ht="15.75" customHeight="1" x14ac:dyDescent="0.2">
      <c r="C741" s="21"/>
      <c r="D741" s="22"/>
      <c r="E741" s="22"/>
      <c r="F741" s="22"/>
      <c r="G741" s="22"/>
      <c r="H741" s="22"/>
      <c r="I741" s="22"/>
    </row>
    <row r="742" spans="3:9" ht="15.75" customHeight="1" x14ac:dyDescent="0.2">
      <c r="C742" s="21"/>
      <c r="D742" s="22"/>
      <c r="E742" s="22"/>
      <c r="F742" s="22"/>
      <c r="G742" s="22"/>
      <c r="H742" s="22"/>
      <c r="I742" s="22"/>
    </row>
    <row r="743" spans="3:9" ht="15.75" customHeight="1" x14ac:dyDescent="0.2">
      <c r="C743" s="21"/>
      <c r="D743" s="22"/>
      <c r="E743" s="22"/>
      <c r="F743" s="22"/>
      <c r="G743" s="22"/>
      <c r="H743" s="22"/>
      <c r="I743" s="22"/>
    </row>
    <row r="744" spans="3:9" ht="15.75" customHeight="1" x14ac:dyDescent="0.2">
      <c r="C744" s="21"/>
      <c r="D744" s="22"/>
      <c r="E744" s="22"/>
      <c r="F744" s="22"/>
      <c r="G744" s="22"/>
      <c r="H744" s="22"/>
      <c r="I744" s="22"/>
    </row>
    <row r="745" spans="3:9" ht="15.75" customHeight="1" x14ac:dyDescent="0.2">
      <c r="C745" s="21"/>
      <c r="D745" s="22"/>
      <c r="E745" s="22"/>
      <c r="F745" s="22"/>
      <c r="G745" s="22"/>
      <c r="H745" s="22"/>
      <c r="I745" s="22"/>
    </row>
    <row r="746" spans="3:9" ht="15.75" customHeight="1" x14ac:dyDescent="0.2">
      <c r="C746" s="21"/>
      <c r="D746" s="22"/>
      <c r="E746" s="22"/>
      <c r="F746" s="22"/>
      <c r="G746" s="22"/>
      <c r="H746" s="22"/>
      <c r="I746" s="22"/>
    </row>
    <row r="747" spans="3:9" ht="15.75" customHeight="1" x14ac:dyDescent="0.2">
      <c r="C747" s="21"/>
      <c r="D747" s="22"/>
      <c r="E747" s="22"/>
      <c r="F747" s="22"/>
      <c r="G747" s="22"/>
      <c r="H747" s="22"/>
      <c r="I747" s="22"/>
    </row>
    <row r="748" spans="3:9" ht="15.75" customHeight="1" x14ac:dyDescent="0.2">
      <c r="C748" s="21"/>
      <c r="D748" s="22"/>
      <c r="E748" s="22"/>
      <c r="F748" s="22"/>
      <c r="G748" s="22"/>
      <c r="H748" s="22"/>
      <c r="I748" s="22"/>
    </row>
    <row r="749" spans="3:9" ht="15.75" customHeight="1" x14ac:dyDescent="0.2">
      <c r="C749" s="21"/>
      <c r="D749" s="22"/>
      <c r="E749" s="22"/>
      <c r="F749" s="22"/>
      <c r="G749" s="22"/>
      <c r="H749" s="22"/>
      <c r="I749" s="22"/>
    </row>
    <row r="750" spans="3:9" ht="15.75" customHeight="1" x14ac:dyDescent="0.2">
      <c r="C750" s="21"/>
      <c r="D750" s="22"/>
      <c r="E750" s="22"/>
      <c r="F750" s="22"/>
      <c r="G750" s="22"/>
      <c r="H750" s="22"/>
      <c r="I750" s="22"/>
    </row>
    <row r="751" spans="3:9" ht="15.75" customHeight="1" x14ac:dyDescent="0.2">
      <c r="C751" s="21"/>
      <c r="D751" s="22"/>
      <c r="E751" s="22"/>
      <c r="F751" s="22"/>
      <c r="G751" s="22"/>
      <c r="H751" s="22"/>
      <c r="I751" s="22"/>
    </row>
    <row r="752" spans="3:9" ht="15.75" customHeight="1" x14ac:dyDescent="0.2">
      <c r="C752" s="21"/>
      <c r="D752" s="22"/>
      <c r="E752" s="22"/>
      <c r="F752" s="22"/>
      <c r="G752" s="22"/>
      <c r="H752" s="22"/>
      <c r="I752" s="22"/>
    </row>
    <row r="753" spans="3:9" ht="15.75" customHeight="1" x14ac:dyDescent="0.2">
      <c r="C753" s="21"/>
      <c r="D753" s="22"/>
      <c r="E753" s="22"/>
      <c r="F753" s="22"/>
      <c r="G753" s="22"/>
      <c r="H753" s="22"/>
      <c r="I753" s="22"/>
    </row>
    <row r="754" spans="3:9" ht="15.75" customHeight="1" x14ac:dyDescent="0.2">
      <c r="C754" s="21"/>
      <c r="D754" s="22"/>
      <c r="E754" s="22"/>
      <c r="F754" s="22"/>
      <c r="G754" s="22"/>
      <c r="H754" s="22"/>
      <c r="I754" s="22"/>
    </row>
    <row r="755" spans="3:9" ht="15.75" customHeight="1" x14ac:dyDescent="0.2">
      <c r="C755" s="21"/>
      <c r="D755" s="22"/>
      <c r="E755" s="22"/>
      <c r="F755" s="22"/>
      <c r="G755" s="22"/>
      <c r="H755" s="22"/>
      <c r="I755" s="22"/>
    </row>
    <row r="756" spans="3:9" ht="15.75" customHeight="1" x14ac:dyDescent="0.2">
      <c r="C756" s="21"/>
      <c r="D756" s="22"/>
      <c r="E756" s="22"/>
      <c r="F756" s="22"/>
      <c r="G756" s="22"/>
      <c r="H756" s="22"/>
      <c r="I756" s="22"/>
    </row>
    <row r="757" spans="3:9" ht="15.75" customHeight="1" x14ac:dyDescent="0.2">
      <c r="C757" s="21"/>
      <c r="D757" s="22"/>
      <c r="E757" s="22"/>
      <c r="F757" s="22"/>
      <c r="G757" s="22"/>
      <c r="H757" s="22"/>
      <c r="I757" s="22"/>
    </row>
    <row r="758" spans="3:9" ht="15.75" customHeight="1" x14ac:dyDescent="0.2">
      <c r="C758" s="21"/>
      <c r="D758" s="22"/>
      <c r="E758" s="22"/>
      <c r="F758" s="22"/>
      <c r="G758" s="22"/>
      <c r="H758" s="22"/>
      <c r="I758" s="22"/>
    </row>
    <row r="759" spans="3:9" ht="15.75" customHeight="1" x14ac:dyDescent="0.2">
      <c r="C759" s="21"/>
      <c r="D759" s="22"/>
      <c r="E759" s="22"/>
      <c r="F759" s="22"/>
      <c r="G759" s="22"/>
      <c r="H759" s="22"/>
      <c r="I759" s="22"/>
    </row>
    <row r="760" spans="3:9" ht="15.75" customHeight="1" x14ac:dyDescent="0.2">
      <c r="C760" s="21"/>
      <c r="D760" s="22"/>
      <c r="E760" s="22"/>
      <c r="F760" s="22"/>
      <c r="G760" s="22"/>
      <c r="H760" s="22"/>
      <c r="I760" s="22"/>
    </row>
    <row r="761" spans="3:9" ht="15.75" customHeight="1" x14ac:dyDescent="0.2">
      <c r="C761" s="21"/>
      <c r="D761" s="22"/>
      <c r="E761" s="22"/>
      <c r="F761" s="22"/>
      <c r="G761" s="22"/>
      <c r="H761" s="22"/>
      <c r="I761" s="22"/>
    </row>
    <row r="762" spans="3:9" ht="15.75" customHeight="1" x14ac:dyDescent="0.2">
      <c r="C762" s="21"/>
      <c r="D762" s="22"/>
      <c r="E762" s="22"/>
      <c r="F762" s="22"/>
      <c r="G762" s="22"/>
      <c r="H762" s="22"/>
      <c r="I762" s="22"/>
    </row>
    <row r="763" spans="3:9" ht="15.75" customHeight="1" x14ac:dyDescent="0.2">
      <c r="C763" s="21"/>
      <c r="D763" s="22"/>
      <c r="E763" s="22"/>
      <c r="F763" s="22"/>
      <c r="G763" s="22"/>
      <c r="H763" s="22"/>
      <c r="I763" s="22"/>
    </row>
    <row r="764" spans="3:9" ht="15.75" customHeight="1" x14ac:dyDescent="0.2">
      <c r="C764" s="21"/>
      <c r="D764" s="22"/>
      <c r="E764" s="22"/>
      <c r="F764" s="22"/>
      <c r="G764" s="22"/>
      <c r="H764" s="22"/>
      <c r="I764" s="22"/>
    </row>
    <row r="765" spans="3:9" ht="15.75" customHeight="1" x14ac:dyDescent="0.2">
      <c r="C765" s="21"/>
      <c r="D765" s="22"/>
      <c r="E765" s="22"/>
      <c r="F765" s="22"/>
      <c r="G765" s="22"/>
      <c r="H765" s="22"/>
      <c r="I765" s="22"/>
    </row>
    <row r="766" spans="3:9" ht="15.75" customHeight="1" x14ac:dyDescent="0.2">
      <c r="C766" s="21"/>
      <c r="D766" s="22"/>
      <c r="E766" s="22"/>
      <c r="F766" s="22"/>
      <c r="G766" s="22"/>
      <c r="H766" s="22"/>
      <c r="I766" s="22"/>
    </row>
    <row r="767" spans="3:9" ht="15.75" customHeight="1" x14ac:dyDescent="0.2">
      <c r="C767" s="21"/>
      <c r="D767" s="22"/>
      <c r="E767" s="22"/>
      <c r="F767" s="22"/>
      <c r="G767" s="22"/>
      <c r="H767" s="22"/>
      <c r="I767" s="22"/>
    </row>
    <row r="768" spans="3:9" ht="15.75" customHeight="1" x14ac:dyDescent="0.2">
      <c r="C768" s="21"/>
      <c r="D768" s="22"/>
      <c r="E768" s="22"/>
      <c r="F768" s="22"/>
      <c r="G768" s="22"/>
      <c r="H768" s="22"/>
      <c r="I768" s="22"/>
    </row>
    <row r="769" spans="3:9" ht="15.75" customHeight="1" x14ac:dyDescent="0.2">
      <c r="C769" s="21"/>
      <c r="D769" s="22"/>
      <c r="E769" s="22"/>
      <c r="F769" s="22"/>
      <c r="G769" s="22"/>
      <c r="H769" s="22"/>
      <c r="I769" s="22"/>
    </row>
    <row r="770" spans="3:9" ht="15.75" customHeight="1" x14ac:dyDescent="0.2">
      <c r="C770" s="21"/>
      <c r="D770" s="22"/>
      <c r="E770" s="22"/>
      <c r="F770" s="22"/>
      <c r="G770" s="22"/>
      <c r="H770" s="22"/>
      <c r="I770" s="22"/>
    </row>
    <row r="771" spans="3:9" ht="15.75" customHeight="1" x14ac:dyDescent="0.2">
      <c r="C771" s="21"/>
      <c r="D771" s="22"/>
      <c r="E771" s="22"/>
      <c r="F771" s="22"/>
      <c r="G771" s="22"/>
      <c r="H771" s="22"/>
      <c r="I771" s="22"/>
    </row>
    <row r="772" spans="3:9" ht="15.75" customHeight="1" x14ac:dyDescent="0.2">
      <c r="C772" s="21"/>
      <c r="D772" s="22"/>
      <c r="E772" s="22"/>
      <c r="F772" s="22"/>
      <c r="G772" s="22"/>
      <c r="H772" s="22"/>
      <c r="I772" s="22"/>
    </row>
    <row r="773" spans="3:9" ht="15.75" customHeight="1" x14ac:dyDescent="0.2">
      <c r="C773" s="21"/>
      <c r="D773" s="22"/>
      <c r="E773" s="22"/>
      <c r="F773" s="22"/>
      <c r="G773" s="22"/>
      <c r="H773" s="22"/>
      <c r="I773" s="22"/>
    </row>
    <row r="774" spans="3:9" ht="15.75" customHeight="1" x14ac:dyDescent="0.2">
      <c r="C774" s="21"/>
      <c r="D774" s="22"/>
      <c r="E774" s="22"/>
      <c r="F774" s="22"/>
      <c r="G774" s="22"/>
      <c r="H774" s="22"/>
      <c r="I774" s="22"/>
    </row>
    <row r="775" spans="3:9" ht="15.75" customHeight="1" x14ac:dyDescent="0.2">
      <c r="C775" s="21"/>
      <c r="D775" s="22"/>
      <c r="E775" s="22"/>
      <c r="F775" s="22"/>
      <c r="G775" s="22"/>
      <c r="H775" s="22"/>
      <c r="I775" s="22"/>
    </row>
    <row r="776" spans="3:9" ht="15.75" customHeight="1" x14ac:dyDescent="0.2">
      <c r="C776" s="21"/>
      <c r="D776" s="22"/>
      <c r="E776" s="22"/>
      <c r="F776" s="22"/>
      <c r="G776" s="22"/>
      <c r="H776" s="22"/>
      <c r="I776" s="22"/>
    </row>
    <row r="777" spans="3:9" ht="15.75" customHeight="1" x14ac:dyDescent="0.2">
      <c r="C777" s="21"/>
      <c r="D777" s="22"/>
      <c r="E777" s="22"/>
      <c r="F777" s="22"/>
      <c r="G777" s="22"/>
      <c r="H777" s="22"/>
      <c r="I777" s="22"/>
    </row>
    <row r="778" spans="3:9" ht="15.75" customHeight="1" x14ac:dyDescent="0.2">
      <c r="C778" s="21"/>
      <c r="D778" s="22"/>
      <c r="E778" s="22"/>
      <c r="F778" s="22"/>
      <c r="G778" s="22"/>
      <c r="H778" s="22"/>
      <c r="I778" s="22"/>
    </row>
    <row r="779" spans="3:9" ht="15.75" customHeight="1" x14ac:dyDescent="0.2">
      <c r="C779" s="21"/>
      <c r="D779" s="22"/>
      <c r="E779" s="22"/>
      <c r="F779" s="22"/>
      <c r="G779" s="22"/>
      <c r="H779" s="22"/>
      <c r="I779" s="22"/>
    </row>
    <row r="780" spans="3:9" ht="15.75" customHeight="1" x14ac:dyDescent="0.2">
      <c r="C780" s="21"/>
      <c r="D780" s="22"/>
      <c r="E780" s="22"/>
      <c r="F780" s="22"/>
      <c r="G780" s="22"/>
      <c r="H780" s="22"/>
      <c r="I780" s="22"/>
    </row>
    <row r="781" spans="3:9" ht="15.75" customHeight="1" x14ac:dyDescent="0.2">
      <c r="C781" s="21"/>
      <c r="D781" s="22"/>
      <c r="E781" s="22"/>
      <c r="F781" s="22"/>
      <c r="G781" s="22"/>
      <c r="H781" s="22"/>
      <c r="I781" s="22"/>
    </row>
    <row r="782" spans="3:9" ht="15.75" customHeight="1" x14ac:dyDescent="0.2">
      <c r="C782" s="21"/>
      <c r="D782" s="22"/>
      <c r="E782" s="22"/>
      <c r="F782" s="22"/>
      <c r="G782" s="22"/>
      <c r="H782" s="22"/>
      <c r="I782" s="22"/>
    </row>
    <row r="783" spans="3:9" ht="15.75" customHeight="1" x14ac:dyDescent="0.2">
      <c r="C783" s="21"/>
      <c r="D783" s="22"/>
      <c r="E783" s="22"/>
      <c r="F783" s="22"/>
      <c r="G783" s="22"/>
      <c r="H783" s="22"/>
      <c r="I783" s="22"/>
    </row>
    <row r="784" spans="3:9" ht="15.75" customHeight="1" x14ac:dyDescent="0.2">
      <c r="C784" s="21"/>
      <c r="D784" s="22"/>
      <c r="E784" s="22"/>
      <c r="F784" s="22"/>
      <c r="G784" s="22"/>
      <c r="H784" s="22"/>
      <c r="I784" s="22"/>
    </row>
    <row r="785" spans="3:9" ht="15.75" customHeight="1" x14ac:dyDescent="0.2">
      <c r="C785" s="21"/>
      <c r="D785" s="22"/>
      <c r="E785" s="22"/>
      <c r="F785" s="22"/>
      <c r="G785" s="22"/>
      <c r="H785" s="22"/>
      <c r="I785" s="22"/>
    </row>
    <row r="786" spans="3:9" ht="15.75" customHeight="1" x14ac:dyDescent="0.2">
      <c r="C786" s="21"/>
      <c r="D786" s="22"/>
      <c r="E786" s="22"/>
      <c r="F786" s="22"/>
      <c r="G786" s="22"/>
      <c r="H786" s="22"/>
      <c r="I786" s="22"/>
    </row>
    <row r="787" spans="3:9" ht="15.75" customHeight="1" x14ac:dyDescent="0.2">
      <c r="C787" s="21"/>
      <c r="D787" s="22"/>
      <c r="E787" s="22"/>
      <c r="F787" s="22"/>
      <c r="G787" s="22"/>
      <c r="H787" s="22"/>
      <c r="I787" s="22"/>
    </row>
    <row r="788" spans="3:9" ht="15.75" customHeight="1" x14ac:dyDescent="0.2">
      <c r="C788" s="21"/>
      <c r="D788" s="22"/>
      <c r="E788" s="22"/>
      <c r="F788" s="22"/>
      <c r="G788" s="22"/>
      <c r="H788" s="22"/>
      <c r="I788" s="22"/>
    </row>
    <row r="789" spans="3:9" ht="15.75" customHeight="1" x14ac:dyDescent="0.2">
      <c r="C789" s="21"/>
      <c r="D789" s="22"/>
      <c r="E789" s="22"/>
      <c r="F789" s="22"/>
      <c r="G789" s="22"/>
      <c r="H789" s="22"/>
      <c r="I789" s="22"/>
    </row>
    <row r="790" spans="3:9" ht="15.75" customHeight="1" x14ac:dyDescent="0.2">
      <c r="C790" s="21"/>
      <c r="D790" s="22"/>
      <c r="E790" s="22"/>
      <c r="F790" s="22"/>
      <c r="G790" s="22"/>
      <c r="H790" s="22"/>
      <c r="I790" s="22"/>
    </row>
    <row r="791" spans="3:9" ht="15.75" customHeight="1" x14ac:dyDescent="0.2">
      <c r="C791" s="21"/>
      <c r="D791" s="22"/>
      <c r="E791" s="22"/>
      <c r="F791" s="22"/>
      <c r="G791" s="22"/>
      <c r="H791" s="22"/>
      <c r="I791" s="22"/>
    </row>
    <row r="792" spans="3:9" ht="15.75" customHeight="1" x14ac:dyDescent="0.2">
      <c r="C792" s="21"/>
      <c r="D792" s="22"/>
      <c r="E792" s="22"/>
      <c r="F792" s="22"/>
      <c r="G792" s="22"/>
      <c r="H792" s="22"/>
      <c r="I792" s="22"/>
    </row>
    <row r="793" spans="3:9" ht="15.75" customHeight="1" x14ac:dyDescent="0.2">
      <c r="C793" s="21"/>
      <c r="D793" s="22"/>
      <c r="E793" s="22"/>
      <c r="F793" s="22"/>
      <c r="G793" s="22"/>
      <c r="H793" s="22"/>
      <c r="I793" s="22"/>
    </row>
    <row r="794" spans="3:9" ht="15.75" customHeight="1" x14ac:dyDescent="0.2">
      <c r="C794" s="21"/>
      <c r="D794" s="22"/>
      <c r="E794" s="22"/>
      <c r="F794" s="22"/>
      <c r="G794" s="22"/>
      <c r="H794" s="22"/>
      <c r="I794" s="22"/>
    </row>
    <row r="795" spans="3:9" ht="15.75" customHeight="1" x14ac:dyDescent="0.2">
      <c r="C795" s="21"/>
      <c r="D795" s="22"/>
      <c r="E795" s="22"/>
      <c r="F795" s="22"/>
      <c r="G795" s="22"/>
      <c r="H795" s="22"/>
      <c r="I795" s="22"/>
    </row>
    <row r="796" spans="3:9" ht="15.75" customHeight="1" x14ac:dyDescent="0.2">
      <c r="C796" s="21"/>
      <c r="D796" s="22"/>
      <c r="E796" s="22"/>
      <c r="F796" s="22"/>
      <c r="G796" s="22"/>
      <c r="H796" s="22"/>
      <c r="I796" s="22"/>
    </row>
    <row r="797" spans="3:9" ht="15.75" customHeight="1" x14ac:dyDescent="0.2">
      <c r="C797" s="21"/>
      <c r="D797" s="22"/>
      <c r="E797" s="22"/>
      <c r="F797" s="22"/>
      <c r="G797" s="22"/>
      <c r="H797" s="22"/>
      <c r="I797" s="22"/>
    </row>
    <row r="798" spans="3:9" ht="15.75" customHeight="1" x14ac:dyDescent="0.2">
      <c r="C798" s="21"/>
      <c r="D798" s="22"/>
      <c r="E798" s="22"/>
      <c r="F798" s="22"/>
      <c r="G798" s="22"/>
      <c r="H798" s="22"/>
      <c r="I798" s="22"/>
    </row>
    <row r="799" spans="3:9" ht="15.75" customHeight="1" x14ac:dyDescent="0.2">
      <c r="C799" s="21"/>
      <c r="D799" s="22"/>
      <c r="E799" s="22"/>
      <c r="F799" s="22"/>
      <c r="G799" s="22"/>
      <c r="H799" s="22"/>
      <c r="I799" s="22"/>
    </row>
    <row r="800" spans="3:9" ht="15.75" customHeight="1" x14ac:dyDescent="0.2">
      <c r="C800" s="21"/>
      <c r="D800" s="22"/>
      <c r="E800" s="22"/>
      <c r="F800" s="22"/>
      <c r="G800" s="22"/>
      <c r="H800" s="22"/>
      <c r="I800" s="22"/>
    </row>
    <row r="801" spans="3:9" ht="15.75" customHeight="1" x14ac:dyDescent="0.2">
      <c r="C801" s="21"/>
      <c r="D801" s="22"/>
      <c r="E801" s="22"/>
      <c r="F801" s="22"/>
      <c r="G801" s="22"/>
      <c r="H801" s="22"/>
      <c r="I801" s="22"/>
    </row>
    <row r="802" spans="3:9" ht="15.75" customHeight="1" x14ac:dyDescent="0.2">
      <c r="C802" s="21"/>
      <c r="D802" s="22"/>
      <c r="E802" s="22"/>
      <c r="F802" s="22"/>
      <c r="G802" s="22"/>
      <c r="H802" s="22"/>
      <c r="I802" s="22"/>
    </row>
    <row r="803" spans="3:9" ht="15.75" customHeight="1" x14ac:dyDescent="0.2">
      <c r="C803" s="21"/>
      <c r="D803" s="22"/>
      <c r="E803" s="22"/>
      <c r="F803" s="22"/>
      <c r="G803" s="22"/>
      <c r="H803" s="22"/>
      <c r="I803" s="22"/>
    </row>
    <row r="804" spans="3:9" ht="15.75" customHeight="1" x14ac:dyDescent="0.2">
      <c r="C804" s="21"/>
      <c r="D804" s="22"/>
      <c r="E804" s="22"/>
      <c r="F804" s="22"/>
      <c r="G804" s="22"/>
      <c r="H804" s="22"/>
      <c r="I804" s="22"/>
    </row>
    <row r="805" spans="3:9" ht="15.75" customHeight="1" x14ac:dyDescent="0.2">
      <c r="C805" s="21"/>
      <c r="D805" s="22"/>
      <c r="E805" s="22"/>
      <c r="F805" s="22"/>
      <c r="G805" s="22"/>
      <c r="H805" s="22"/>
      <c r="I805" s="22"/>
    </row>
    <row r="806" spans="3:9" ht="15.75" customHeight="1" x14ac:dyDescent="0.2">
      <c r="C806" s="21"/>
      <c r="D806" s="22"/>
      <c r="E806" s="22"/>
      <c r="F806" s="22"/>
      <c r="G806" s="22"/>
      <c r="H806" s="22"/>
      <c r="I806" s="22"/>
    </row>
    <row r="807" spans="3:9" ht="15.75" customHeight="1" x14ac:dyDescent="0.2">
      <c r="C807" s="21"/>
      <c r="D807" s="22"/>
      <c r="E807" s="22"/>
      <c r="F807" s="22"/>
      <c r="G807" s="22"/>
      <c r="H807" s="22"/>
      <c r="I807" s="22"/>
    </row>
    <row r="808" spans="3:9" ht="15.75" customHeight="1" x14ac:dyDescent="0.2">
      <c r="C808" s="21"/>
      <c r="D808" s="22"/>
      <c r="E808" s="22"/>
      <c r="F808" s="22"/>
      <c r="G808" s="22"/>
      <c r="H808" s="22"/>
      <c r="I808" s="22"/>
    </row>
    <row r="809" spans="3:9" ht="15.75" customHeight="1" x14ac:dyDescent="0.2">
      <c r="C809" s="21"/>
      <c r="D809" s="22"/>
      <c r="E809" s="22"/>
      <c r="F809" s="22"/>
      <c r="G809" s="22"/>
      <c r="H809" s="22"/>
      <c r="I809" s="22"/>
    </row>
    <row r="810" spans="3:9" ht="15.75" customHeight="1" x14ac:dyDescent="0.2">
      <c r="C810" s="21"/>
      <c r="D810" s="22"/>
      <c r="E810" s="22"/>
      <c r="F810" s="22"/>
      <c r="G810" s="22"/>
      <c r="H810" s="22"/>
      <c r="I810" s="22"/>
    </row>
    <row r="811" spans="3:9" ht="15.75" customHeight="1" x14ac:dyDescent="0.2">
      <c r="C811" s="21"/>
      <c r="D811" s="22"/>
      <c r="E811" s="22"/>
      <c r="F811" s="22"/>
      <c r="G811" s="22"/>
      <c r="H811" s="22"/>
      <c r="I811" s="22"/>
    </row>
    <row r="812" spans="3:9" ht="15.75" customHeight="1" x14ac:dyDescent="0.2">
      <c r="C812" s="21"/>
      <c r="D812" s="22"/>
      <c r="E812" s="22"/>
      <c r="F812" s="22"/>
      <c r="G812" s="22"/>
      <c r="H812" s="22"/>
      <c r="I812" s="22"/>
    </row>
    <row r="813" spans="3:9" ht="15.75" customHeight="1" x14ac:dyDescent="0.2">
      <c r="C813" s="21"/>
      <c r="D813" s="22"/>
      <c r="E813" s="22"/>
      <c r="F813" s="22"/>
      <c r="G813" s="22"/>
      <c r="H813" s="22"/>
      <c r="I813" s="22"/>
    </row>
    <row r="814" spans="3:9" ht="15.75" customHeight="1" x14ac:dyDescent="0.2">
      <c r="C814" s="21"/>
      <c r="D814" s="22"/>
      <c r="E814" s="22"/>
      <c r="F814" s="22"/>
      <c r="G814" s="22"/>
      <c r="H814" s="22"/>
      <c r="I814" s="22"/>
    </row>
    <row r="815" spans="3:9" ht="15.75" customHeight="1" x14ac:dyDescent="0.2">
      <c r="C815" s="21"/>
      <c r="D815" s="22"/>
      <c r="E815" s="22"/>
      <c r="F815" s="22"/>
      <c r="G815" s="22"/>
      <c r="H815" s="22"/>
      <c r="I815" s="22"/>
    </row>
    <row r="816" spans="3:9" ht="15.75" customHeight="1" x14ac:dyDescent="0.2">
      <c r="C816" s="21"/>
      <c r="D816" s="22"/>
      <c r="E816" s="22"/>
      <c r="F816" s="22"/>
      <c r="G816" s="22"/>
      <c r="H816" s="22"/>
      <c r="I816" s="22"/>
    </row>
    <row r="817" spans="3:9" ht="15.75" customHeight="1" x14ac:dyDescent="0.2">
      <c r="C817" s="21"/>
      <c r="D817" s="22"/>
      <c r="E817" s="22"/>
      <c r="F817" s="22"/>
      <c r="G817" s="22"/>
      <c r="H817" s="22"/>
      <c r="I817" s="22"/>
    </row>
    <row r="818" spans="3:9" ht="15.75" customHeight="1" x14ac:dyDescent="0.2">
      <c r="C818" s="21"/>
      <c r="D818" s="22"/>
      <c r="E818" s="22"/>
      <c r="F818" s="22"/>
      <c r="G818" s="22"/>
      <c r="H818" s="22"/>
      <c r="I818" s="22"/>
    </row>
    <row r="819" spans="3:9" ht="15.75" customHeight="1" x14ac:dyDescent="0.2">
      <c r="C819" s="21"/>
      <c r="D819" s="22"/>
      <c r="E819" s="22"/>
      <c r="F819" s="22"/>
      <c r="G819" s="22"/>
      <c r="H819" s="22"/>
      <c r="I819" s="22"/>
    </row>
    <row r="820" spans="3:9" ht="15.75" customHeight="1" x14ac:dyDescent="0.2">
      <c r="C820" s="21"/>
      <c r="D820" s="22"/>
      <c r="E820" s="22"/>
      <c r="F820" s="22"/>
      <c r="G820" s="22"/>
      <c r="H820" s="22"/>
      <c r="I820" s="22"/>
    </row>
    <row r="821" spans="3:9" ht="15.75" customHeight="1" x14ac:dyDescent="0.2">
      <c r="C821" s="21"/>
      <c r="D821" s="22"/>
      <c r="E821" s="22"/>
      <c r="F821" s="22"/>
      <c r="G821" s="22"/>
      <c r="H821" s="22"/>
      <c r="I821" s="22"/>
    </row>
    <row r="822" spans="3:9" ht="15.75" customHeight="1" x14ac:dyDescent="0.2">
      <c r="C822" s="21"/>
      <c r="D822" s="22"/>
      <c r="E822" s="22"/>
      <c r="F822" s="22"/>
      <c r="G822" s="22"/>
      <c r="H822" s="22"/>
      <c r="I822" s="22"/>
    </row>
    <row r="823" spans="3:9" ht="15.75" customHeight="1" x14ac:dyDescent="0.2">
      <c r="C823" s="21"/>
      <c r="D823" s="22"/>
      <c r="E823" s="22"/>
      <c r="F823" s="22"/>
      <c r="G823" s="22"/>
      <c r="H823" s="22"/>
      <c r="I823" s="22"/>
    </row>
    <row r="824" spans="3:9" ht="15.75" customHeight="1" x14ac:dyDescent="0.2">
      <c r="C824" s="21"/>
      <c r="D824" s="22"/>
      <c r="E824" s="22"/>
      <c r="F824" s="22"/>
      <c r="G824" s="22"/>
      <c r="H824" s="22"/>
      <c r="I824" s="22"/>
    </row>
    <row r="825" spans="3:9" ht="15.75" customHeight="1" x14ac:dyDescent="0.2">
      <c r="C825" s="21"/>
      <c r="D825" s="22"/>
      <c r="E825" s="22"/>
      <c r="F825" s="22"/>
      <c r="G825" s="22"/>
      <c r="H825" s="22"/>
      <c r="I825" s="22"/>
    </row>
    <row r="826" spans="3:9" ht="15.75" customHeight="1" x14ac:dyDescent="0.2">
      <c r="C826" s="21"/>
      <c r="D826" s="22"/>
      <c r="E826" s="22"/>
      <c r="F826" s="22"/>
      <c r="G826" s="22"/>
      <c r="H826" s="22"/>
      <c r="I826" s="22"/>
    </row>
    <row r="827" spans="3:9" ht="15.75" customHeight="1" x14ac:dyDescent="0.2">
      <c r="C827" s="21"/>
      <c r="D827" s="22"/>
      <c r="E827" s="22"/>
      <c r="F827" s="22"/>
      <c r="G827" s="22"/>
      <c r="H827" s="22"/>
      <c r="I827" s="22"/>
    </row>
    <row r="828" spans="3:9" ht="15.75" customHeight="1" x14ac:dyDescent="0.2">
      <c r="C828" s="21"/>
      <c r="D828" s="22"/>
      <c r="E828" s="22"/>
      <c r="F828" s="22"/>
      <c r="G828" s="22"/>
      <c r="H828" s="22"/>
      <c r="I828" s="22"/>
    </row>
    <row r="829" spans="3:9" ht="15.75" customHeight="1" x14ac:dyDescent="0.2">
      <c r="C829" s="21"/>
      <c r="D829" s="22"/>
      <c r="E829" s="22"/>
      <c r="F829" s="22"/>
      <c r="G829" s="22"/>
      <c r="H829" s="22"/>
      <c r="I829" s="22"/>
    </row>
    <row r="830" spans="3:9" ht="15.75" customHeight="1" x14ac:dyDescent="0.2">
      <c r="C830" s="21"/>
      <c r="D830" s="22"/>
      <c r="E830" s="22"/>
      <c r="F830" s="22"/>
      <c r="G830" s="22"/>
      <c r="H830" s="22"/>
      <c r="I830" s="22"/>
    </row>
    <row r="831" spans="3:9" ht="15.75" customHeight="1" x14ac:dyDescent="0.2">
      <c r="C831" s="21"/>
      <c r="D831" s="22"/>
      <c r="E831" s="22"/>
      <c r="F831" s="22"/>
      <c r="G831" s="22"/>
      <c r="H831" s="22"/>
      <c r="I831" s="22"/>
    </row>
    <row r="832" spans="3:9" ht="15.75" customHeight="1" x14ac:dyDescent="0.2">
      <c r="C832" s="21"/>
      <c r="D832" s="22"/>
      <c r="E832" s="22"/>
      <c r="F832" s="22"/>
      <c r="G832" s="22"/>
      <c r="H832" s="22"/>
      <c r="I832" s="22"/>
    </row>
    <row r="833" spans="3:9" ht="15.75" customHeight="1" x14ac:dyDescent="0.2">
      <c r="C833" s="21"/>
      <c r="D833" s="22"/>
      <c r="E833" s="22"/>
      <c r="F833" s="22"/>
      <c r="G833" s="22"/>
      <c r="H833" s="22"/>
      <c r="I833" s="22"/>
    </row>
    <row r="834" spans="3:9" ht="15.75" customHeight="1" x14ac:dyDescent="0.2">
      <c r="C834" s="21"/>
      <c r="D834" s="22"/>
      <c r="E834" s="22"/>
      <c r="F834" s="22"/>
      <c r="G834" s="22"/>
      <c r="H834" s="22"/>
      <c r="I834" s="22"/>
    </row>
    <row r="835" spans="3:9" ht="15.75" customHeight="1" x14ac:dyDescent="0.2">
      <c r="C835" s="21"/>
      <c r="D835" s="22"/>
      <c r="E835" s="22"/>
      <c r="F835" s="22"/>
      <c r="G835" s="22"/>
      <c r="H835" s="22"/>
      <c r="I835" s="22"/>
    </row>
    <row r="836" spans="3:9" ht="15.75" customHeight="1" x14ac:dyDescent="0.2">
      <c r="C836" s="21"/>
      <c r="D836" s="22"/>
      <c r="E836" s="22"/>
      <c r="F836" s="22"/>
      <c r="G836" s="22"/>
      <c r="H836" s="22"/>
      <c r="I836" s="22"/>
    </row>
    <row r="837" spans="3:9" ht="15.75" customHeight="1" x14ac:dyDescent="0.2">
      <c r="C837" s="21"/>
      <c r="D837" s="22"/>
      <c r="E837" s="22"/>
      <c r="F837" s="22"/>
      <c r="G837" s="22"/>
      <c r="H837" s="22"/>
      <c r="I837" s="22"/>
    </row>
    <row r="838" spans="3:9" ht="15.75" customHeight="1" x14ac:dyDescent="0.2">
      <c r="C838" s="21"/>
      <c r="D838" s="22"/>
      <c r="E838" s="22"/>
      <c r="F838" s="22"/>
      <c r="G838" s="22"/>
      <c r="H838" s="22"/>
      <c r="I838" s="22"/>
    </row>
    <row r="839" spans="3:9" ht="15.75" customHeight="1" x14ac:dyDescent="0.2">
      <c r="C839" s="21"/>
      <c r="D839" s="22"/>
      <c r="E839" s="22"/>
      <c r="F839" s="22"/>
      <c r="G839" s="22"/>
      <c r="H839" s="22"/>
      <c r="I839" s="22"/>
    </row>
    <row r="840" spans="3:9" ht="15.75" customHeight="1" x14ac:dyDescent="0.2">
      <c r="C840" s="21"/>
      <c r="D840" s="22"/>
      <c r="E840" s="22"/>
      <c r="F840" s="22"/>
      <c r="G840" s="22"/>
      <c r="H840" s="22"/>
      <c r="I840" s="22"/>
    </row>
    <row r="841" spans="3:9" ht="15.75" customHeight="1" x14ac:dyDescent="0.2">
      <c r="C841" s="21"/>
      <c r="D841" s="22"/>
      <c r="E841" s="22"/>
      <c r="F841" s="22"/>
      <c r="G841" s="22"/>
      <c r="H841" s="22"/>
      <c r="I841" s="22"/>
    </row>
    <row r="842" spans="3:9" ht="15.75" customHeight="1" x14ac:dyDescent="0.2">
      <c r="C842" s="21"/>
      <c r="D842" s="22"/>
      <c r="E842" s="22"/>
      <c r="F842" s="22"/>
      <c r="G842" s="22"/>
      <c r="H842" s="22"/>
      <c r="I842" s="22"/>
    </row>
    <row r="843" spans="3:9" ht="15.75" customHeight="1" x14ac:dyDescent="0.2">
      <c r="C843" s="21"/>
      <c r="D843" s="22"/>
      <c r="E843" s="22"/>
      <c r="F843" s="22"/>
      <c r="G843" s="22"/>
      <c r="H843" s="22"/>
      <c r="I843" s="22"/>
    </row>
    <row r="844" spans="3:9" ht="15.75" customHeight="1" x14ac:dyDescent="0.2">
      <c r="C844" s="21"/>
      <c r="D844" s="22"/>
      <c r="E844" s="22"/>
      <c r="F844" s="22"/>
      <c r="G844" s="22"/>
      <c r="H844" s="22"/>
      <c r="I844" s="22"/>
    </row>
    <row r="845" spans="3:9" ht="15.75" customHeight="1" x14ac:dyDescent="0.2">
      <c r="C845" s="21"/>
      <c r="D845" s="22"/>
      <c r="E845" s="22"/>
      <c r="F845" s="22"/>
      <c r="G845" s="22"/>
      <c r="H845" s="22"/>
      <c r="I845" s="22"/>
    </row>
    <row r="846" spans="3:9" ht="15.75" customHeight="1" x14ac:dyDescent="0.2">
      <c r="C846" s="21"/>
      <c r="D846" s="22"/>
      <c r="E846" s="22"/>
      <c r="F846" s="22"/>
      <c r="G846" s="22"/>
      <c r="H846" s="22"/>
      <c r="I846" s="22"/>
    </row>
    <row r="847" spans="3:9" ht="15.75" customHeight="1" x14ac:dyDescent="0.2">
      <c r="C847" s="21"/>
      <c r="D847" s="22"/>
      <c r="E847" s="22"/>
      <c r="F847" s="22"/>
      <c r="G847" s="22"/>
      <c r="H847" s="22"/>
      <c r="I847" s="22"/>
    </row>
    <row r="848" spans="3:9" ht="15.75" customHeight="1" x14ac:dyDescent="0.2">
      <c r="C848" s="21"/>
      <c r="D848" s="22"/>
      <c r="E848" s="22"/>
      <c r="F848" s="22"/>
      <c r="G848" s="22"/>
      <c r="H848" s="22"/>
      <c r="I848" s="22"/>
    </row>
    <row r="849" spans="3:9" ht="15.75" customHeight="1" x14ac:dyDescent="0.2">
      <c r="C849" s="21"/>
      <c r="D849" s="22"/>
      <c r="E849" s="22"/>
      <c r="F849" s="22"/>
      <c r="G849" s="22"/>
      <c r="H849" s="22"/>
      <c r="I849" s="22"/>
    </row>
    <row r="850" spans="3:9" ht="15.75" customHeight="1" x14ac:dyDescent="0.2">
      <c r="C850" s="21"/>
      <c r="D850" s="22"/>
      <c r="E850" s="22"/>
      <c r="F850" s="22"/>
      <c r="G850" s="22"/>
      <c r="H850" s="22"/>
      <c r="I850" s="22"/>
    </row>
    <row r="851" spans="3:9" ht="15.75" customHeight="1" x14ac:dyDescent="0.2">
      <c r="C851" s="21"/>
      <c r="D851" s="22"/>
      <c r="E851" s="22"/>
      <c r="F851" s="22"/>
      <c r="G851" s="22"/>
      <c r="H851" s="22"/>
      <c r="I851" s="22"/>
    </row>
    <row r="852" spans="3:9" ht="15.75" customHeight="1" x14ac:dyDescent="0.2">
      <c r="C852" s="21"/>
      <c r="D852" s="22"/>
      <c r="E852" s="22"/>
      <c r="F852" s="22"/>
      <c r="G852" s="22"/>
      <c r="H852" s="22"/>
      <c r="I852" s="22"/>
    </row>
    <row r="853" spans="3:9" ht="15.75" customHeight="1" x14ac:dyDescent="0.2">
      <c r="C853" s="21"/>
      <c r="D853" s="22"/>
      <c r="E853" s="22"/>
      <c r="F853" s="22"/>
      <c r="G853" s="22"/>
      <c r="H853" s="22"/>
      <c r="I853" s="22"/>
    </row>
    <row r="854" spans="3:9" ht="15.75" customHeight="1" x14ac:dyDescent="0.2">
      <c r="C854" s="21"/>
      <c r="D854" s="22"/>
      <c r="E854" s="22"/>
      <c r="F854" s="22"/>
      <c r="G854" s="22"/>
      <c r="H854" s="22"/>
      <c r="I854" s="22"/>
    </row>
    <row r="855" spans="3:9" ht="15.75" customHeight="1" x14ac:dyDescent="0.2">
      <c r="C855" s="21"/>
      <c r="D855" s="22"/>
      <c r="E855" s="22"/>
      <c r="F855" s="22"/>
      <c r="G855" s="22"/>
      <c r="H855" s="22"/>
      <c r="I855" s="22"/>
    </row>
    <row r="856" spans="3:9" ht="15.75" customHeight="1" x14ac:dyDescent="0.2">
      <c r="C856" s="21"/>
      <c r="D856" s="22"/>
      <c r="E856" s="22"/>
      <c r="F856" s="22"/>
      <c r="G856" s="22"/>
      <c r="H856" s="22"/>
      <c r="I856" s="22"/>
    </row>
    <row r="857" spans="3:9" ht="15.75" customHeight="1" x14ac:dyDescent="0.2">
      <c r="C857" s="21"/>
      <c r="D857" s="22"/>
      <c r="E857" s="22"/>
      <c r="F857" s="22"/>
      <c r="G857" s="22"/>
      <c r="H857" s="22"/>
      <c r="I857" s="22"/>
    </row>
    <row r="858" spans="3:9" ht="15.75" customHeight="1" x14ac:dyDescent="0.2">
      <c r="C858" s="21"/>
      <c r="D858" s="22"/>
      <c r="E858" s="22"/>
      <c r="F858" s="22"/>
      <c r="G858" s="22"/>
      <c r="H858" s="22"/>
      <c r="I858" s="22"/>
    </row>
    <row r="859" spans="3:9" ht="15.75" customHeight="1" x14ac:dyDescent="0.2">
      <c r="C859" s="21"/>
      <c r="D859" s="22"/>
      <c r="E859" s="22"/>
      <c r="F859" s="22"/>
      <c r="G859" s="22"/>
      <c r="H859" s="22"/>
      <c r="I859" s="22"/>
    </row>
    <row r="860" spans="3:9" ht="15.75" customHeight="1" x14ac:dyDescent="0.2">
      <c r="C860" s="21"/>
      <c r="D860" s="22"/>
      <c r="E860" s="22"/>
      <c r="F860" s="22"/>
      <c r="G860" s="22"/>
      <c r="H860" s="22"/>
      <c r="I860" s="22"/>
    </row>
    <row r="861" spans="3:9" ht="15.75" customHeight="1" x14ac:dyDescent="0.2">
      <c r="C861" s="21"/>
      <c r="D861" s="22"/>
      <c r="E861" s="22"/>
      <c r="F861" s="22"/>
      <c r="G861" s="22"/>
      <c r="H861" s="22"/>
      <c r="I861" s="22"/>
    </row>
    <row r="862" spans="3:9" ht="15.75" customHeight="1" x14ac:dyDescent="0.2">
      <c r="C862" s="21"/>
      <c r="D862" s="22"/>
      <c r="E862" s="22"/>
      <c r="F862" s="22"/>
      <c r="G862" s="22"/>
      <c r="H862" s="22"/>
      <c r="I862" s="22"/>
    </row>
    <row r="863" spans="3:9" ht="15.75" customHeight="1" x14ac:dyDescent="0.2">
      <c r="C863" s="21"/>
      <c r="D863" s="22"/>
      <c r="E863" s="22"/>
      <c r="F863" s="22"/>
      <c r="G863" s="22"/>
      <c r="H863" s="22"/>
      <c r="I863" s="22"/>
    </row>
    <row r="864" spans="3:9" ht="15.75" customHeight="1" x14ac:dyDescent="0.2">
      <c r="C864" s="21"/>
      <c r="D864" s="22"/>
      <c r="E864" s="22"/>
      <c r="F864" s="22"/>
      <c r="G864" s="22"/>
      <c r="H864" s="22"/>
      <c r="I864" s="22"/>
    </row>
    <row r="865" spans="3:9" ht="15.75" customHeight="1" x14ac:dyDescent="0.2">
      <c r="C865" s="21"/>
      <c r="D865" s="22"/>
      <c r="E865" s="22"/>
      <c r="F865" s="22"/>
      <c r="G865" s="22"/>
      <c r="H865" s="22"/>
      <c r="I865" s="22"/>
    </row>
    <row r="866" spans="3:9" ht="15.75" customHeight="1" x14ac:dyDescent="0.2">
      <c r="C866" s="21"/>
      <c r="D866" s="22"/>
      <c r="E866" s="22"/>
      <c r="F866" s="22"/>
      <c r="G866" s="22"/>
      <c r="H866" s="22"/>
      <c r="I866" s="22"/>
    </row>
    <row r="867" spans="3:9" ht="15.75" customHeight="1" x14ac:dyDescent="0.2">
      <c r="C867" s="21"/>
      <c r="D867" s="22"/>
      <c r="E867" s="22"/>
      <c r="F867" s="22"/>
      <c r="G867" s="22"/>
      <c r="H867" s="22"/>
      <c r="I867" s="22"/>
    </row>
    <row r="868" spans="3:9" ht="15.75" customHeight="1" x14ac:dyDescent="0.2">
      <c r="C868" s="21"/>
      <c r="D868" s="22"/>
      <c r="E868" s="22"/>
      <c r="F868" s="22"/>
      <c r="G868" s="22"/>
      <c r="H868" s="22"/>
      <c r="I868" s="22"/>
    </row>
    <row r="869" spans="3:9" ht="15.75" customHeight="1" x14ac:dyDescent="0.2">
      <c r="C869" s="21"/>
      <c r="D869" s="22"/>
      <c r="E869" s="22"/>
      <c r="F869" s="22"/>
      <c r="G869" s="22"/>
      <c r="H869" s="22"/>
      <c r="I869" s="22"/>
    </row>
    <row r="870" spans="3:9" ht="15.75" customHeight="1" x14ac:dyDescent="0.2">
      <c r="C870" s="21"/>
      <c r="D870" s="22"/>
      <c r="E870" s="22"/>
      <c r="F870" s="22"/>
      <c r="G870" s="22"/>
      <c r="H870" s="22"/>
      <c r="I870" s="22"/>
    </row>
    <row r="871" spans="3:9" ht="15.75" customHeight="1" x14ac:dyDescent="0.2">
      <c r="C871" s="21"/>
      <c r="D871" s="22"/>
      <c r="E871" s="22"/>
      <c r="F871" s="22"/>
      <c r="G871" s="22"/>
      <c r="H871" s="22"/>
      <c r="I871" s="22"/>
    </row>
    <row r="872" spans="3:9" ht="15.75" customHeight="1" x14ac:dyDescent="0.2">
      <c r="C872" s="21"/>
      <c r="D872" s="22"/>
      <c r="E872" s="22"/>
      <c r="F872" s="22"/>
      <c r="G872" s="22"/>
      <c r="H872" s="22"/>
      <c r="I872" s="22"/>
    </row>
    <row r="873" spans="3:9" ht="15.75" customHeight="1" x14ac:dyDescent="0.2">
      <c r="C873" s="21"/>
      <c r="D873" s="22"/>
      <c r="E873" s="22"/>
      <c r="F873" s="22"/>
      <c r="G873" s="22"/>
      <c r="H873" s="22"/>
      <c r="I873" s="22"/>
    </row>
    <row r="874" spans="3:9" ht="15.75" customHeight="1" x14ac:dyDescent="0.2">
      <c r="C874" s="21"/>
      <c r="D874" s="22"/>
      <c r="E874" s="22"/>
      <c r="F874" s="22"/>
      <c r="G874" s="22"/>
      <c r="H874" s="22"/>
      <c r="I874" s="22"/>
    </row>
    <row r="875" spans="3:9" ht="15.75" customHeight="1" x14ac:dyDescent="0.2">
      <c r="C875" s="21"/>
      <c r="D875" s="22"/>
      <c r="E875" s="22"/>
      <c r="F875" s="22"/>
      <c r="G875" s="22"/>
      <c r="H875" s="22"/>
      <c r="I875" s="22"/>
    </row>
    <row r="876" spans="3:9" ht="15.75" customHeight="1" x14ac:dyDescent="0.2">
      <c r="C876" s="21"/>
      <c r="D876" s="22"/>
      <c r="E876" s="22"/>
      <c r="F876" s="22"/>
      <c r="G876" s="22"/>
      <c r="H876" s="22"/>
      <c r="I876" s="22"/>
    </row>
    <row r="877" spans="3:9" ht="15.75" customHeight="1" x14ac:dyDescent="0.2">
      <c r="C877" s="21"/>
      <c r="D877" s="22"/>
      <c r="E877" s="22"/>
      <c r="F877" s="22"/>
      <c r="G877" s="22"/>
      <c r="H877" s="22"/>
      <c r="I877" s="22"/>
    </row>
    <row r="878" spans="3:9" ht="15.75" customHeight="1" x14ac:dyDescent="0.2">
      <c r="C878" s="21"/>
      <c r="D878" s="22"/>
      <c r="E878" s="22"/>
      <c r="F878" s="22"/>
      <c r="G878" s="22"/>
      <c r="H878" s="22"/>
      <c r="I878" s="22"/>
    </row>
    <row r="879" spans="3:9" ht="15.75" customHeight="1" x14ac:dyDescent="0.2">
      <c r="C879" s="21"/>
      <c r="D879" s="22"/>
      <c r="E879" s="22"/>
      <c r="F879" s="22"/>
      <c r="G879" s="22"/>
      <c r="H879" s="22"/>
      <c r="I879" s="22"/>
    </row>
    <row r="880" spans="3:9" ht="15.75" customHeight="1" x14ac:dyDescent="0.2">
      <c r="C880" s="21"/>
      <c r="D880" s="22"/>
      <c r="E880" s="22"/>
      <c r="F880" s="22"/>
      <c r="G880" s="22"/>
      <c r="H880" s="22"/>
      <c r="I880" s="22"/>
    </row>
    <row r="881" spans="3:9" ht="15.75" customHeight="1" x14ac:dyDescent="0.2">
      <c r="C881" s="21"/>
      <c r="D881" s="22"/>
      <c r="E881" s="22"/>
      <c r="F881" s="22"/>
      <c r="G881" s="22"/>
      <c r="H881" s="22"/>
      <c r="I881" s="22"/>
    </row>
    <row r="882" spans="3:9" ht="15.75" customHeight="1" x14ac:dyDescent="0.2">
      <c r="C882" s="21"/>
      <c r="D882" s="22"/>
      <c r="E882" s="22"/>
      <c r="F882" s="22"/>
      <c r="G882" s="22"/>
      <c r="H882" s="22"/>
      <c r="I882" s="22"/>
    </row>
    <row r="883" spans="3:9" ht="15.75" customHeight="1" x14ac:dyDescent="0.2">
      <c r="C883" s="21"/>
      <c r="D883" s="22"/>
      <c r="E883" s="22"/>
      <c r="F883" s="22"/>
      <c r="G883" s="22"/>
      <c r="H883" s="22"/>
      <c r="I883" s="22"/>
    </row>
    <row r="884" spans="3:9" ht="15.75" customHeight="1" x14ac:dyDescent="0.2">
      <c r="C884" s="21"/>
      <c r="D884" s="22"/>
      <c r="E884" s="22"/>
      <c r="F884" s="22"/>
      <c r="G884" s="22"/>
      <c r="H884" s="22"/>
      <c r="I884" s="22"/>
    </row>
    <row r="885" spans="3:9" ht="15.75" customHeight="1" x14ac:dyDescent="0.2">
      <c r="C885" s="21"/>
      <c r="D885" s="22"/>
      <c r="E885" s="22"/>
      <c r="F885" s="22"/>
      <c r="G885" s="22"/>
      <c r="H885" s="22"/>
      <c r="I885" s="22"/>
    </row>
    <row r="886" spans="3:9" ht="15.75" customHeight="1" x14ac:dyDescent="0.2">
      <c r="C886" s="21"/>
      <c r="D886" s="22"/>
      <c r="E886" s="22"/>
      <c r="F886" s="22"/>
      <c r="G886" s="22"/>
      <c r="H886" s="22"/>
      <c r="I886" s="22"/>
    </row>
    <row r="887" spans="3:9" ht="15.75" customHeight="1" x14ac:dyDescent="0.2">
      <c r="C887" s="21"/>
      <c r="D887" s="22"/>
      <c r="E887" s="22"/>
      <c r="F887" s="22"/>
      <c r="G887" s="22"/>
      <c r="H887" s="22"/>
      <c r="I887" s="22"/>
    </row>
    <row r="888" spans="3:9" ht="15.75" customHeight="1" x14ac:dyDescent="0.2">
      <c r="C888" s="21"/>
      <c r="D888" s="22"/>
      <c r="E888" s="22"/>
      <c r="F888" s="22"/>
      <c r="G888" s="22"/>
      <c r="H888" s="22"/>
      <c r="I888" s="22"/>
    </row>
    <row r="889" spans="3:9" ht="15.75" customHeight="1" x14ac:dyDescent="0.2">
      <c r="C889" s="21"/>
      <c r="D889" s="22"/>
      <c r="E889" s="22"/>
      <c r="F889" s="22"/>
      <c r="G889" s="22"/>
      <c r="H889" s="22"/>
      <c r="I889" s="22"/>
    </row>
    <row r="890" spans="3:9" ht="15.75" customHeight="1" x14ac:dyDescent="0.2">
      <c r="C890" s="21"/>
      <c r="D890" s="22"/>
      <c r="E890" s="22"/>
      <c r="F890" s="22"/>
      <c r="G890" s="22"/>
      <c r="H890" s="22"/>
      <c r="I890" s="22"/>
    </row>
    <row r="891" spans="3:9" ht="15.75" customHeight="1" x14ac:dyDescent="0.2">
      <c r="C891" s="21"/>
      <c r="D891" s="22"/>
      <c r="E891" s="22"/>
      <c r="F891" s="22"/>
      <c r="G891" s="22"/>
      <c r="H891" s="22"/>
      <c r="I891" s="22"/>
    </row>
    <row r="892" spans="3:9" ht="15.75" customHeight="1" x14ac:dyDescent="0.2">
      <c r="C892" s="21"/>
      <c r="D892" s="22"/>
      <c r="E892" s="22"/>
      <c r="F892" s="22"/>
      <c r="G892" s="22"/>
      <c r="H892" s="22"/>
      <c r="I892" s="22"/>
    </row>
    <row r="893" spans="3:9" ht="15.75" customHeight="1" x14ac:dyDescent="0.2">
      <c r="C893" s="21"/>
      <c r="D893" s="22"/>
      <c r="E893" s="22"/>
      <c r="F893" s="22"/>
      <c r="G893" s="22"/>
      <c r="H893" s="22"/>
      <c r="I893" s="22"/>
    </row>
    <row r="894" spans="3:9" ht="15.75" customHeight="1" x14ac:dyDescent="0.2">
      <c r="C894" s="21"/>
      <c r="D894" s="22"/>
      <c r="E894" s="22"/>
      <c r="F894" s="22"/>
      <c r="G894" s="22"/>
      <c r="H894" s="22"/>
      <c r="I894" s="22"/>
    </row>
    <row r="895" spans="3:9" ht="15.75" customHeight="1" x14ac:dyDescent="0.2">
      <c r="C895" s="21"/>
      <c r="D895" s="22"/>
      <c r="E895" s="22"/>
      <c r="F895" s="22"/>
      <c r="G895" s="22"/>
      <c r="H895" s="22"/>
      <c r="I895" s="22"/>
    </row>
    <row r="896" spans="3:9" ht="15.75" customHeight="1" x14ac:dyDescent="0.2">
      <c r="C896" s="21"/>
      <c r="D896" s="22"/>
      <c r="E896" s="22"/>
      <c r="F896" s="22"/>
      <c r="G896" s="22"/>
      <c r="H896" s="22"/>
      <c r="I896" s="22"/>
    </row>
    <row r="897" spans="3:9" ht="15.75" customHeight="1" x14ac:dyDescent="0.2">
      <c r="C897" s="21"/>
      <c r="D897" s="22"/>
      <c r="E897" s="22"/>
      <c r="F897" s="22"/>
      <c r="G897" s="22"/>
      <c r="H897" s="22"/>
      <c r="I897" s="22"/>
    </row>
    <row r="898" spans="3:9" ht="15.75" customHeight="1" x14ac:dyDescent="0.2">
      <c r="C898" s="21"/>
      <c r="D898" s="22"/>
      <c r="E898" s="22"/>
      <c r="F898" s="22"/>
      <c r="G898" s="22"/>
      <c r="H898" s="22"/>
      <c r="I898" s="22"/>
    </row>
    <row r="899" spans="3:9" ht="15.75" customHeight="1" x14ac:dyDescent="0.2">
      <c r="C899" s="21"/>
      <c r="D899" s="22"/>
      <c r="E899" s="22"/>
      <c r="F899" s="22"/>
      <c r="G899" s="22"/>
      <c r="H899" s="22"/>
      <c r="I899" s="22"/>
    </row>
    <row r="900" spans="3:9" ht="15.75" customHeight="1" x14ac:dyDescent="0.2">
      <c r="C900" s="21"/>
      <c r="D900" s="22"/>
      <c r="E900" s="22"/>
      <c r="F900" s="22"/>
      <c r="G900" s="22"/>
      <c r="H900" s="22"/>
      <c r="I900" s="22"/>
    </row>
    <row r="901" spans="3:9" ht="15.75" customHeight="1" x14ac:dyDescent="0.2">
      <c r="C901" s="21"/>
      <c r="D901" s="22"/>
      <c r="E901" s="22"/>
      <c r="F901" s="22"/>
      <c r="G901" s="22"/>
      <c r="H901" s="22"/>
      <c r="I901" s="22"/>
    </row>
    <row r="902" spans="3:9" ht="15.75" customHeight="1" x14ac:dyDescent="0.2">
      <c r="C902" s="21"/>
      <c r="D902" s="22"/>
      <c r="E902" s="22"/>
      <c r="F902" s="22"/>
      <c r="G902" s="22"/>
      <c r="H902" s="22"/>
      <c r="I902" s="22"/>
    </row>
    <row r="903" spans="3:9" ht="15.75" customHeight="1" x14ac:dyDescent="0.2">
      <c r="C903" s="21"/>
      <c r="D903" s="22"/>
      <c r="E903" s="22"/>
      <c r="F903" s="22"/>
      <c r="G903" s="22"/>
      <c r="H903" s="22"/>
      <c r="I903" s="22"/>
    </row>
    <row r="904" spans="3:9" ht="15.75" customHeight="1" x14ac:dyDescent="0.2">
      <c r="C904" s="21"/>
      <c r="D904" s="22"/>
      <c r="E904" s="22"/>
      <c r="F904" s="22"/>
      <c r="G904" s="22"/>
      <c r="H904" s="22"/>
      <c r="I904" s="22"/>
    </row>
    <row r="905" spans="3:9" ht="15.75" customHeight="1" x14ac:dyDescent="0.2">
      <c r="C905" s="21"/>
      <c r="D905" s="22"/>
      <c r="E905" s="22"/>
      <c r="F905" s="22"/>
      <c r="G905" s="22"/>
      <c r="H905" s="22"/>
      <c r="I905" s="22"/>
    </row>
    <row r="906" spans="3:9" ht="15.75" customHeight="1" x14ac:dyDescent="0.2">
      <c r="C906" s="21"/>
      <c r="D906" s="22"/>
      <c r="E906" s="22"/>
      <c r="F906" s="22"/>
      <c r="G906" s="22"/>
      <c r="H906" s="22"/>
      <c r="I906" s="22"/>
    </row>
    <row r="907" spans="3:9" ht="15.75" customHeight="1" x14ac:dyDescent="0.2">
      <c r="C907" s="21"/>
      <c r="D907" s="22"/>
      <c r="E907" s="22"/>
      <c r="F907" s="22"/>
      <c r="G907" s="22"/>
      <c r="H907" s="22"/>
      <c r="I907" s="22"/>
    </row>
    <row r="908" spans="3:9" ht="15.75" customHeight="1" x14ac:dyDescent="0.2">
      <c r="C908" s="21"/>
      <c r="D908" s="22"/>
      <c r="E908" s="22"/>
      <c r="F908" s="22"/>
      <c r="G908" s="22"/>
      <c r="H908" s="22"/>
      <c r="I908" s="22"/>
    </row>
    <row r="909" spans="3:9" ht="15.75" customHeight="1" x14ac:dyDescent="0.2">
      <c r="C909" s="21"/>
      <c r="D909" s="22"/>
      <c r="E909" s="22"/>
      <c r="F909" s="22"/>
      <c r="G909" s="22"/>
      <c r="H909" s="22"/>
      <c r="I909" s="22"/>
    </row>
    <row r="910" spans="3:9" ht="15.75" customHeight="1" x14ac:dyDescent="0.2">
      <c r="C910" s="21"/>
      <c r="D910" s="22"/>
      <c r="E910" s="22"/>
      <c r="F910" s="22"/>
      <c r="G910" s="22"/>
      <c r="H910" s="22"/>
      <c r="I910" s="22"/>
    </row>
    <row r="911" spans="3:9" ht="15.75" customHeight="1" x14ac:dyDescent="0.2">
      <c r="C911" s="21"/>
      <c r="D911" s="22"/>
      <c r="E911" s="22"/>
      <c r="F911" s="22"/>
      <c r="G911" s="22"/>
      <c r="H911" s="22"/>
      <c r="I911" s="22"/>
    </row>
    <row r="912" spans="3:9" ht="15.75" customHeight="1" x14ac:dyDescent="0.2">
      <c r="C912" s="21"/>
      <c r="D912" s="22"/>
      <c r="E912" s="22"/>
      <c r="F912" s="22"/>
      <c r="G912" s="22"/>
      <c r="H912" s="22"/>
      <c r="I912" s="22"/>
    </row>
    <row r="913" spans="3:9" ht="15.75" customHeight="1" x14ac:dyDescent="0.2">
      <c r="C913" s="21"/>
      <c r="D913" s="22"/>
      <c r="E913" s="22"/>
      <c r="F913" s="22"/>
      <c r="G913" s="22"/>
      <c r="H913" s="22"/>
      <c r="I913" s="22"/>
    </row>
    <row r="914" spans="3:9" ht="15.75" customHeight="1" x14ac:dyDescent="0.2">
      <c r="C914" s="21"/>
      <c r="D914" s="22"/>
      <c r="E914" s="22"/>
      <c r="F914" s="22"/>
      <c r="G914" s="22"/>
      <c r="H914" s="22"/>
      <c r="I914" s="22"/>
    </row>
    <row r="915" spans="3:9" ht="15.75" customHeight="1" x14ac:dyDescent="0.2">
      <c r="C915" s="21"/>
      <c r="D915" s="22"/>
      <c r="E915" s="22"/>
      <c r="F915" s="22"/>
      <c r="G915" s="22"/>
      <c r="H915" s="22"/>
      <c r="I915" s="22"/>
    </row>
    <row r="916" spans="3:9" ht="15.75" customHeight="1" x14ac:dyDescent="0.2">
      <c r="C916" s="21"/>
      <c r="D916" s="22"/>
      <c r="E916" s="22"/>
      <c r="F916" s="22"/>
      <c r="G916" s="22"/>
      <c r="H916" s="22"/>
      <c r="I916" s="22"/>
    </row>
    <row r="917" spans="3:9" ht="15.75" customHeight="1" x14ac:dyDescent="0.2">
      <c r="C917" s="21"/>
      <c r="D917" s="22"/>
      <c r="E917" s="22"/>
      <c r="F917" s="22"/>
      <c r="G917" s="22"/>
      <c r="H917" s="22"/>
      <c r="I917" s="22"/>
    </row>
    <row r="918" spans="3:9" ht="15.75" customHeight="1" x14ac:dyDescent="0.2">
      <c r="C918" s="21"/>
      <c r="D918" s="22"/>
      <c r="E918" s="22"/>
      <c r="F918" s="22"/>
      <c r="G918" s="22"/>
      <c r="H918" s="22"/>
      <c r="I918" s="22"/>
    </row>
    <row r="919" spans="3:9" ht="15.75" customHeight="1" x14ac:dyDescent="0.2">
      <c r="C919" s="21"/>
      <c r="D919" s="22"/>
      <c r="E919" s="22"/>
      <c r="F919" s="22"/>
      <c r="G919" s="22"/>
      <c r="H919" s="22"/>
      <c r="I919" s="22"/>
    </row>
    <row r="920" spans="3:9" ht="15.75" customHeight="1" x14ac:dyDescent="0.2">
      <c r="C920" s="21"/>
      <c r="D920" s="22"/>
      <c r="E920" s="22"/>
      <c r="F920" s="22"/>
      <c r="G920" s="22"/>
      <c r="H920" s="22"/>
      <c r="I920" s="22"/>
    </row>
    <row r="921" spans="3:9" ht="15.75" customHeight="1" x14ac:dyDescent="0.2">
      <c r="C921" s="21"/>
      <c r="D921" s="22"/>
      <c r="E921" s="22"/>
      <c r="F921" s="22"/>
      <c r="G921" s="22"/>
      <c r="H921" s="22"/>
      <c r="I921" s="22"/>
    </row>
    <row r="922" spans="3:9" ht="15.75" customHeight="1" x14ac:dyDescent="0.2">
      <c r="C922" s="21"/>
      <c r="D922" s="22"/>
      <c r="E922" s="22"/>
      <c r="F922" s="22"/>
      <c r="G922" s="22"/>
      <c r="H922" s="22"/>
      <c r="I922" s="22"/>
    </row>
    <row r="923" spans="3:9" ht="15.75" customHeight="1" x14ac:dyDescent="0.2">
      <c r="C923" s="21"/>
      <c r="D923" s="22"/>
      <c r="E923" s="22"/>
      <c r="F923" s="22"/>
      <c r="G923" s="22"/>
      <c r="H923" s="22"/>
      <c r="I923" s="22"/>
    </row>
    <row r="924" spans="3:9" ht="15.75" customHeight="1" x14ac:dyDescent="0.2">
      <c r="C924" s="21"/>
      <c r="D924" s="22"/>
      <c r="E924" s="22"/>
      <c r="F924" s="22"/>
      <c r="G924" s="22"/>
      <c r="H924" s="22"/>
      <c r="I924" s="22"/>
    </row>
    <row r="925" spans="3:9" ht="15.75" customHeight="1" x14ac:dyDescent="0.2">
      <c r="C925" s="21"/>
      <c r="D925" s="22"/>
      <c r="E925" s="22"/>
      <c r="F925" s="22"/>
      <c r="G925" s="22"/>
      <c r="H925" s="22"/>
      <c r="I925" s="22"/>
    </row>
    <row r="926" spans="3:9" ht="15.75" customHeight="1" x14ac:dyDescent="0.2">
      <c r="C926" s="21"/>
      <c r="D926" s="22"/>
      <c r="E926" s="22"/>
      <c r="F926" s="22"/>
      <c r="G926" s="22"/>
      <c r="H926" s="22"/>
      <c r="I926" s="22"/>
    </row>
    <row r="927" spans="3:9" ht="15.75" customHeight="1" x14ac:dyDescent="0.2">
      <c r="C927" s="21"/>
      <c r="D927" s="22"/>
      <c r="E927" s="22"/>
      <c r="F927" s="22"/>
      <c r="G927" s="22"/>
      <c r="H927" s="22"/>
      <c r="I927" s="22"/>
    </row>
    <row r="928" spans="3:9" ht="15.75" customHeight="1" x14ac:dyDescent="0.2">
      <c r="C928" s="21"/>
      <c r="D928" s="22"/>
      <c r="E928" s="22"/>
      <c r="F928" s="22"/>
      <c r="G928" s="22"/>
      <c r="H928" s="22"/>
      <c r="I928" s="22"/>
    </row>
    <row r="929" spans="3:9" ht="15.75" customHeight="1" x14ac:dyDescent="0.2">
      <c r="C929" s="21"/>
      <c r="D929" s="22"/>
      <c r="E929" s="22"/>
      <c r="F929" s="22"/>
      <c r="G929" s="22"/>
      <c r="H929" s="22"/>
      <c r="I929" s="22"/>
    </row>
    <row r="930" spans="3:9" ht="15.75" customHeight="1" x14ac:dyDescent="0.2">
      <c r="C930" s="21"/>
      <c r="D930" s="22"/>
      <c r="E930" s="22"/>
      <c r="F930" s="22"/>
      <c r="G930" s="22"/>
      <c r="H930" s="22"/>
      <c r="I930" s="22"/>
    </row>
    <row r="931" spans="3:9" ht="15.75" customHeight="1" x14ac:dyDescent="0.2">
      <c r="C931" s="21"/>
      <c r="D931" s="22"/>
      <c r="E931" s="22"/>
      <c r="F931" s="22"/>
      <c r="G931" s="22"/>
      <c r="H931" s="22"/>
      <c r="I931" s="22"/>
    </row>
    <row r="932" spans="3:9" ht="15.75" customHeight="1" x14ac:dyDescent="0.2">
      <c r="C932" s="21"/>
      <c r="D932" s="22"/>
      <c r="E932" s="22"/>
      <c r="F932" s="22"/>
      <c r="G932" s="22"/>
      <c r="H932" s="22"/>
      <c r="I932" s="22"/>
    </row>
    <row r="933" spans="3:9" ht="15.75" customHeight="1" x14ac:dyDescent="0.2">
      <c r="C933" s="21"/>
      <c r="D933" s="22"/>
      <c r="E933" s="22"/>
      <c r="F933" s="22"/>
      <c r="G933" s="22"/>
      <c r="H933" s="22"/>
      <c r="I933" s="22"/>
    </row>
    <row r="934" spans="3:9" ht="15.75" customHeight="1" x14ac:dyDescent="0.2">
      <c r="C934" s="21"/>
      <c r="D934" s="22"/>
      <c r="E934" s="22"/>
      <c r="F934" s="22"/>
      <c r="G934" s="22"/>
      <c r="H934" s="22"/>
      <c r="I934" s="22"/>
    </row>
    <row r="935" spans="3:9" ht="15.75" customHeight="1" x14ac:dyDescent="0.2">
      <c r="C935" s="21"/>
      <c r="D935" s="22"/>
      <c r="E935" s="22"/>
      <c r="F935" s="22"/>
      <c r="G935" s="22"/>
      <c r="H935" s="22"/>
      <c r="I935" s="22"/>
    </row>
    <row r="936" spans="3:9" ht="15.75" customHeight="1" x14ac:dyDescent="0.2">
      <c r="C936" s="21"/>
      <c r="D936" s="22"/>
      <c r="E936" s="22"/>
      <c r="F936" s="22"/>
      <c r="G936" s="22"/>
      <c r="H936" s="22"/>
      <c r="I936" s="22"/>
    </row>
    <row r="937" spans="3:9" ht="15.75" customHeight="1" x14ac:dyDescent="0.2">
      <c r="C937" s="21"/>
      <c r="D937" s="22"/>
      <c r="E937" s="22"/>
      <c r="F937" s="22"/>
      <c r="G937" s="22"/>
      <c r="H937" s="22"/>
      <c r="I937" s="22"/>
    </row>
    <row r="938" spans="3:9" ht="15.75" customHeight="1" x14ac:dyDescent="0.2">
      <c r="C938" s="21"/>
      <c r="D938" s="22"/>
      <c r="E938" s="22"/>
      <c r="F938" s="22"/>
      <c r="G938" s="22"/>
      <c r="H938" s="22"/>
      <c r="I938" s="22"/>
    </row>
    <row r="939" spans="3:9" ht="15.75" customHeight="1" x14ac:dyDescent="0.2">
      <c r="C939" s="21"/>
      <c r="D939" s="22"/>
      <c r="E939" s="22"/>
      <c r="F939" s="22"/>
      <c r="G939" s="22"/>
      <c r="H939" s="22"/>
      <c r="I939" s="22"/>
    </row>
    <row r="940" spans="3:9" ht="15.75" customHeight="1" x14ac:dyDescent="0.2">
      <c r="C940" s="21"/>
      <c r="D940" s="22"/>
      <c r="E940" s="22"/>
      <c r="F940" s="22"/>
      <c r="G940" s="22"/>
      <c r="H940" s="22"/>
      <c r="I940" s="22"/>
    </row>
    <row r="941" spans="3:9" ht="15.75" customHeight="1" x14ac:dyDescent="0.2">
      <c r="C941" s="21"/>
      <c r="D941" s="22"/>
      <c r="E941" s="22"/>
      <c r="F941" s="22"/>
      <c r="G941" s="22"/>
      <c r="H941" s="22"/>
      <c r="I941" s="22"/>
    </row>
    <row r="942" spans="3:9" ht="15.75" customHeight="1" x14ac:dyDescent="0.2">
      <c r="C942" s="21"/>
      <c r="D942" s="22"/>
      <c r="E942" s="22"/>
      <c r="F942" s="22"/>
      <c r="G942" s="22"/>
      <c r="H942" s="22"/>
      <c r="I942" s="22"/>
    </row>
    <row r="943" spans="3:9" ht="15.75" customHeight="1" x14ac:dyDescent="0.2">
      <c r="C943" s="21"/>
      <c r="D943" s="22"/>
      <c r="E943" s="22"/>
      <c r="F943" s="22"/>
      <c r="G943" s="22"/>
      <c r="H943" s="22"/>
      <c r="I943" s="22"/>
    </row>
    <row r="944" spans="3:9" ht="15.75" customHeight="1" x14ac:dyDescent="0.2">
      <c r="C944" s="21"/>
      <c r="D944" s="22"/>
      <c r="E944" s="22"/>
      <c r="F944" s="22"/>
      <c r="G944" s="22"/>
      <c r="H944" s="22"/>
      <c r="I944" s="22"/>
    </row>
    <row r="945" spans="3:9" ht="15.75" customHeight="1" x14ac:dyDescent="0.2">
      <c r="C945" s="21"/>
      <c r="D945" s="22"/>
      <c r="E945" s="22"/>
      <c r="F945" s="22"/>
      <c r="G945" s="22"/>
      <c r="H945" s="22"/>
      <c r="I945" s="22"/>
    </row>
    <row r="946" spans="3:9" ht="15.75" customHeight="1" x14ac:dyDescent="0.2">
      <c r="C946" s="21"/>
      <c r="D946" s="22"/>
      <c r="E946" s="22"/>
      <c r="F946" s="22"/>
      <c r="G946" s="22"/>
      <c r="H946" s="22"/>
      <c r="I946" s="22"/>
    </row>
    <row r="947" spans="3:9" ht="15.75" customHeight="1" x14ac:dyDescent="0.2">
      <c r="C947" s="21"/>
      <c r="D947" s="22"/>
      <c r="E947" s="22"/>
      <c r="F947" s="22"/>
      <c r="G947" s="22"/>
      <c r="H947" s="22"/>
      <c r="I947" s="22"/>
    </row>
    <row r="948" spans="3:9" ht="15.75" customHeight="1" x14ac:dyDescent="0.2">
      <c r="C948" s="21"/>
      <c r="D948" s="22"/>
      <c r="E948" s="22"/>
      <c r="F948" s="22"/>
      <c r="G948" s="22"/>
      <c r="H948" s="22"/>
      <c r="I948" s="22"/>
    </row>
    <row r="949" spans="3:9" ht="15.75" customHeight="1" x14ac:dyDescent="0.2">
      <c r="C949" s="21"/>
      <c r="D949" s="22"/>
      <c r="E949" s="22"/>
      <c r="F949" s="22"/>
      <c r="G949" s="22"/>
      <c r="H949" s="22"/>
      <c r="I949" s="22"/>
    </row>
    <row r="950" spans="3:9" ht="15.75" customHeight="1" x14ac:dyDescent="0.2">
      <c r="C950" s="21"/>
      <c r="D950" s="22"/>
      <c r="E950" s="22"/>
      <c r="F950" s="22"/>
      <c r="G950" s="22"/>
      <c r="H950" s="22"/>
      <c r="I950" s="22"/>
    </row>
    <row r="951" spans="3:9" ht="15.75" customHeight="1" x14ac:dyDescent="0.2">
      <c r="C951" s="21"/>
      <c r="D951" s="22"/>
      <c r="E951" s="22"/>
      <c r="F951" s="22"/>
      <c r="G951" s="22"/>
      <c r="H951" s="22"/>
      <c r="I951" s="22"/>
    </row>
    <row r="952" spans="3:9" ht="15.75" customHeight="1" x14ac:dyDescent="0.2">
      <c r="C952" s="21"/>
      <c r="D952" s="22"/>
      <c r="E952" s="22"/>
      <c r="F952" s="22"/>
      <c r="G952" s="22"/>
      <c r="H952" s="22"/>
      <c r="I952" s="22"/>
    </row>
    <row r="953" spans="3:9" ht="15.75" customHeight="1" x14ac:dyDescent="0.2">
      <c r="C953" s="21"/>
      <c r="D953" s="22"/>
      <c r="E953" s="22"/>
      <c r="F953" s="22"/>
      <c r="G953" s="22"/>
      <c r="H953" s="22"/>
      <c r="I953" s="22"/>
    </row>
    <row r="954" spans="3:9" ht="15.75" customHeight="1" x14ac:dyDescent="0.2">
      <c r="C954" s="21"/>
      <c r="D954" s="22"/>
      <c r="E954" s="22"/>
      <c r="F954" s="22"/>
      <c r="G954" s="22"/>
      <c r="H954" s="22"/>
      <c r="I954" s="22"/>
    </row>
    <row r="955" spans="3:9" ht="15.75" customHeight="1" x14ac:dyDescent="0.2">
      <c r="C955" s="21"/>
      <c r="D955" s="22"/>
      <c r="E955" s="22"/>
      <c r="F955" s="22"/>
      <c r="G955" s="22"/>
      <c r="H955" s="22"/>
      <c r="I955" s="22"/>
    </row>
    <row r="956" spans="3:9" ht="15.75" customHeight="1" x14ac:dyDescent="0.2">
      <c r="C956" s="21"/>
      <c r="D956" s="22"/>
      <c r="E956" s="22"/>
      <c r="F956" s="22"/>
      <c r="G956" s="22"/>
      <c r="H956" s="22"/>
      <c r="I956" s="22"/>
    </row>
    <row r="957" spans="3:9" ht="15.75" customHeight="1" x14ac:dyDescent="0.2">
      <c r="C957" s="21"/>
      <c r="D957" s="22"/>
      <c r="E957" s="22"/>
      <c r="F957" s="22"/>
      <c r="G957" s="22"/>
      <c r="H957" s="22"/>
      <c r="I957" s="22"/>
    </row>
    <row r="958" spans="3:9" ht="15.75" customHeight="1" x14ac:dyDescent="0.2">
      <c r="C958" s="21"/>
      <c r="D958" s="22"/>
      <c r="E958" s="22"/>
      <c r="F958" s="22"/>
      <c r="G958" s="22"/>
      <c r="H958" s="22"/>
      <c r="I958" s="22"/>
    </row>
    <row r="959" spans="3:9" ht="15.75" customHeight="1" x14ac:dyDescent="0.2">
      <c r="C959" s="21"/>
      <c r="D959" s="22"/>
      <c r="E959" s="22"/>
      <c r="F959" s="22"/>
      <c r="G959" s="22"/>
      <c r="H959" s="22"/>
      <c r="I959" s="22"/>
    </row>
    <row r="960" spans="3:9" ht="15.75" customHeight="1" x14ac:dyDescent="0.2">
      <c r="C960" s="21"/>
      <c r="D960" s="22"/>
      <c r="E960" s="22"/>
      <c r="F960" s="22"/>
      <c r="G960" s="22"/>
      <c r="H960" s="22"/>
      <c r="I960" s="22"/>
    </row>
    <row r="961" spans="3:9" ht="15.75" customHeight="1" x14ac:dyDescent="0.2">
      <c r="C961" s="21"/>
      <c r="D961" s="22"/>
      <c r="E961" s="22"/>
      <c r="F961" s="22"/>
      <c r="G961" s="22"/>
      <c r="H961" s="22"/>
      <c r="I961" s="22"/>
    </row>
    <row r="962" spans="3:9" ht="15.75" customHeight="1" x14ac:dyDescent="0.2">
      <c r="C962" s="21"/>
      <c r="D962" s="22"/>
      <c r="E962" s="22"/>
      <c r="F962" s="22"/>
      <c r="G962" s="22"/>
      <c r="H962" s="22"/>
      <c r="I962" s="22"/>
    </row>
    <row r="963" spans="3:9" ht="15.75" customHeight="1" x14ac:dyDescent="0.2">
      <c r="C963" s="21"/>
      <c r="D963" s="22"/>
      <c r="E963" s="22"/>
      <c r="F963" s="22"/>
      <c r="G963" s="22"/>
      <c r="H963" s="22"/>
      <c r="I963" s="22"/>
    </row>
    <row r="964" spans="3:9" ht="15.75" customHeight="1" x14ac:dyDescent="0.2">
      <c r="C964" s="21"/>
      <c r="D964" s="22"/>
      <c r="E964" s="22"/>
      <c r="F964" s="22"/>
      <c r="G964" s="22"/>
      <c r="H964" s="22"/>
      <c r="I964" s="22"/>
    </row>
    <row r="965" spans="3:9" ht="15.75" customHeight="1" x14ac:dyDescent="0.2">
      <c r="C965" s="21"/>
      <c r="D965" s="22"/>
      <c r="E965" s="22"/>
      <c r="F965" s="22"/>
      <c r="G965" s="22"/>
      <c r="H965" s="22"/>
      <c r="I965" s="22"/>
    </row>
    <row r="966" spans="3:9" ht="15.75" customHeight="1" x14ac:dyDescent="0.2">
      <c r="C966" s="21"/>
      <c r="D966" s="22"/>
      <c r="E966" s="22"/>
      <c r="F966" s="22"/>
      <c r="G966" s="22"/>
      <c r="H966" s="22"/>
      <c r="I966" s="22"/>
    </row>
    <row r="967" spans="3:9" ht="15.75" customHeight="1" x14ac:dyDescent="0.2">
      <c r="C967" s="21"/>
      <c r="D967" s="22"/>
      <c r="E967" s="22"/>
      <c r="F967" s="22"/>
      <c r="G967" s="22"/>
      <c r="H967" s="22"/>
      <c r="I967" s="22"/>
    </row>
    <row r="968" spans="3:9" ht="15.75" customHeight="1" x14ac:dyDescent="0.2">
      <c r="C968" s="21"/>
      <c r="D968" s="22"/>
      <c r="E968" s="22"/>
      <c r="F968" s="22"/>
      <c r="G968" s="22"/>
      <c r="H968" s="22"/>
      <c r="I968" s="22"/>
    </row>
    <row r="969" spans="3:9" ht="15.75" customHeight="1" x14ac:dyDescent="0.2">
      <c r="C969" s="21"/>
      <c r="D969" s="22"/>
      <c r="E969" s="22"/>
      <c r="F969" s="22"/>
      <c r="G969" s="22"/>
      <c r="H969" s="22"/>
      <c r="I969" s="22"/>
    </row>
    <row r="970" spans="3:9" ht="15.75" customHeight="1" x14ac:dyDescent="0.2">
      <c r="C970" s="21"/>
      <c r="D970" s="22"/>
      <c r="E970" s="22"/>
      <c r="F970" s="22"/>
      <c r="G970" s="22"/>
      <c r="H970" s="22"/>
      <c r="I970" s="22"/>
    </row>
    <row r="971" spans="3:9" ht="15.75" customHeight="1" x14ac:dyDescent="0.2">
      <c r="C971" s="21"/>
      <c r="D971" s="22"/>
      <c r="E971" s="22"/>
      <c r="F971" s="22"/>
      <c r="G971" s="22"/>
      <c r="H971" s="22"/>
      <c r="I971" s="22"/>
    </row>
    <row r="972" spans="3:9" ht="15.75" customHeight="1" x14ac:dyDescent="0.2">
      <c r="C972" s="21"/>
      <c r="D972" s="22"/>
      <c r="E972" s="22"/>
      <c r="F972" s="22"/>
      <c r="G972" s="22"/>
      <c r="H972" s="22"/>
      <c r="I972" s="22"/>
    </row>
    <row r="973" spans="3:9" ht="15.75" customHeight="1" x14ac:dyDescent="0.2">
      <c r="C973" s="21"/>
      <c r="D973" s="22"/>
      <c r="E973" s="22"/>
      <c r="F973" s="22"/>
      <c r="G973" s="22"/>
      <c r="H973" s="22"/>
      <c r="I973" s="22"/>
    </row>
    <row r="974" spans="3:9" ht="15.75" customHeight="1" x14ac:dyDescent="0.2">
      <c r="C974" s="21"/>
      <c r="D974" s="22"/>
      <c r="E974" s="22"/>
      <c r="F974" s="22"/>
      <c r="G974" s="22"/>
      <c r="H974" s="22"/>
      <c r="I974" s="22"/>
    </row>
    <row r="975" spans="3:9" ht="15.75" customHeight="1" x14ac:dyDescent="0.2">
      <c r="C975" s="21"/>
      <c r="D975" s="22"/>
      <c r="E975" s="22"/>
      <c r="F975" s="22"/>
      <c r="G975" s="22"/>
      <c r="H975" s="22"/>
      <c r="I975" s="22"/>
    </row>
    <row r="976" spans="3:9" ht="15.75" customHeight="1" x14ac:dyDescent="0.2">
      <c r="C976" s="21"/>
      <c r="D976" s="22"/>
      <c r="E976" s="22"/>
      <c r="F976" s="22"/>
      <c r="G976" s="22"/>
      <c r="H976" s="22"/>
      <c r="I976" s="22"/>
    </row>
    <row r="977" spans="3:9" ht="15.75" customHeight="1" x14ac:dyDescent="0.2">
      <c r="C977" s="21"/>
      <c r="D977" s="22"/>
      <c r="E977" s="22"/>
      <c r="F977" s="22"/>
      <c r="G977" s="22"/>
      <c r="H977" s="22"/>
      <c r="I977" s="22"/>
    </row>
    <row r="978" spans="3:9" ht="15.75" customHeight="1" x14ac:dyDescent="0.2">
      <c r="C978" s="21"/>
      <c r="D978" s="22"/>
      <c r="E978" s="22"/>
      <c r="F978" s="22"/>
      <c r="G978" s="22"/>
      <c r="H978" s="22"/>
      <c r="I978" s="22"/>
    </row>
    <row r="979" spans="3:9" ht="15.75" customHeight="1" x14ac:dyDescent="0.2">
      <c r="C979" s="21"/>
      <c r="D979" s="22"/>
      <c r="E979" s="22"/>
      <c r="F979" s="22"/>
      <c r="G979" s="22"/>
      <c r="H979" s="22"/>
      <c r="I979" s="22"/>
    </row>
    <row r="980" spans="3:9" ht="15.75" customHeight="1" x14ac:dyDescent="0.2">
      <c r="C980" s="21"/>
      <c r="D980" s="22"/>
      <c r="E980" s="22"/>
      <c r="F980" s="22"/>
      <c r="G980" s="22"/>
      <c r="H980" s="22"/>
      <c r="I980" s="22"/>
    </row>
    <row r="981" spans="3:9" ht="15.75" customHeight="1" x14ac:dyDescent="0.2">
      <c r="C981" s="21"/>
      <c r="D981" s="22"/>
      <c r="E981" s="22"/>
      <c r="F981" s="22"/>
      <c r="G981" s="22"/>
      <c r="H981" s="22"/>
      <c r="I981" s="22"/>
    </row>
    <row r="982" spans="3:9" ht="15.75" customHeight="1" x14ac:dyDescent="0.2">
      <c r="C982" s="21"/>
      <c r="D982" s="22"/>
      <c r="E982" s="22"/>
      <c r="F982" s="22"/>
      <c r="G982" s="22"/>
      <c r="H982" s="22"/>
      <c r="I982" s="22"/>
    </row>
    <row r="983" spans="3:9" ht="15.75" customHeight="1" x14ac:dyDescent="0.2">
      <c r="C983" s="21"/>
      <c r="D983" s="22"/>
      <c r="E983" s="22"/>
      <c r="F983" s="22"/>
      <c r="G983" s="22"/>
      <c r="H983" s="22"/>
      <c r="I983" s="22"/>
    </row>
    <row r="984" spans="3:9" ht="15.75" customHeight="1" x14ac:dyDescent="0.2">
      <c r="C984" s="21"/>
      <c r="D984" s="22"/>
      <c r="E984" s="22"/>
      <c r="F984" s="22"/>
      <c r="G984" s="22"/>
      <c r="H984" s="22"/>
      <c r="I984" s="22"/>
    </row>
    <row r="985" spans="3:9" ht="15.75" customHeight="1" x14ac:dyDescent="0.2">
      <c r="C985" s="21"/>
      <c r="D985" s="22"/>
      <c r="E985" s="22"/>
      <c r="F985" s="22"/>
      <c r="G985" s="22"/>
      <c r="H985" s="22"/>
      <c r="I985" s="22"/>
    </row>
    <row r="986" spans="3:9" ht="15.75" customHeight="1" x14ac:dyDescent="0.2">
      <c r="C986" s="21"/>
      <c r="D986" s="22"/>
      <c r="E986" s="22"/>
      <c r="F986" s="22"/>
      <c r="G986" s="22"/>
      <c r="H986" s="22"/>
      <c r="I986" s="22"/>
    </row>
    <row r="987" spans="3:9" ht="15.75" customHeight="1" x14ac:dyDescent="0.2">
      <c r="C987" s="21"/>
      <c r="D987" s="22"/>
      <c r="E987" s="22"/>
      <c r="F987" s="22"/>
      <c r="G987" s="22"/>
      <c r="H987" s="22"/>
      <c r="I987" s="22"/>
    </row>
    <row r="988" spans="3:9" ht="15.75" customHeight="1" x14ac:dyDescent="0.2">
      <c r="C988" s="21"/>
      <c r="D988" s="22"/>
      <c r="E988" s="22"/>
      <c r="F988" s="22"/>
      <c r="G988" s="22"/>
      <c r="H988" s="22"/>
      <c r="I988" s="22"/>
    </row>
    <row r="989" spans="3:9" ht="15.75" customHeight="1" x14ac:dyDescent="0.2">
      <c r="C989" s="21"/>
      <c r="D989" s="22"/>
      <c r="E989" s="22"/>
      <c r="F989" s="22"/>
      <c r="G989" s="22"/>
      <c r="H989" s="22"/>
      <c r="I989" s="22"/>
    </row>
    <row r="990" spans="3:9" ht="15.75" customHeight="1" x14ac:dyDescent="0.2">
      <c r="C990" s="21"/>
      <c r="D990" s="22"/>
      <c r="E990" s="22"/>
      <c r="F990" s="22"/>
      <c r="G990" s="22"/>
      <c r="H990" s="22"/>
      <c r="I990" s="22"/>
    </row>
    <row r="991" spans="3:9" ht="15.75" customHeight="1" x14ac:dyDescent="0.2">
      <c r="C991" s="21"/>
      <c r="D991" s="22"/>
      <c r="E991" s="22"/>
      <c r="F991" s="22"/>
      <c r="G991" s="22"/>
      <c r="H991" s="22"/>
      <c r="I991" s="22"/>
    </row>
    <row r="992" spans="3:9" ht="15.75" customHeight="1" x14ac:dyDescent="0.2">
      <c r="C992" s="21"/>
      <c r="D992" s="22"/>
      <c r="E992" s="22"/>
      <c r="F992" s="22"/>
      <c r="G992" s="22"/>
      <c r="H992" s="22"/>
      <c r="I992" s="22"/>
    </row>
    <row r="993" spans="3:9" ht="15.75" customHeight="1" x14ac:dyDescent="0.2">
      <c r="C993" s="21"/>
      <c r="D993" s="22"/>
      <c r="E993" s="22"/>
      <c r="F993" s="22"/>
      <c r="G993" s="22"/>
      <c r="H993" s="22"/>
      <c r="I993" s="22"/>
    </row>
    <row r="994" spans="3:9" ht="15.75" customHeight="1" x14ac:dyDescent="0.2">
      <c r="C994" s="21"/>
      <c r="D994" s="22"/>
      <c r="E994" s="22"/>
      <c r="F994" s="22"/>
      <c r="G994" s="22"/>
      <c r="H994" s="22"/>
      <c r="I994" s="22"/>
    </row>
    <row r="995" spans="3:9" ht="15.75" customHeight="1" x14ac:dyDescent="0.2">
      <c r="C995" s="21"/>
      <c r="D995" s="22"/>
      <c r="E995" s="22"/>
      <c r="F995" s="22"/>
      <c r="G995" s="22"/>
      <c r="H995" s="22"/>
      <c r="I995" s="22"/>
    </row>
    <row r="996" spans="3:9" ht="15.75" customHeight="1" x14ac:dyDescent="0.2">
      <c r="C996" s="21"/>
      <c r="D996" s="22"/>
      <c r="E996" s="22"/>
      <c r="F996" s="22"/>
      <c r="G996" s="22"/>
      <c r="H996" s="22"/>
      <c r="I996" s="22"/>
    </row>
    <row r="997" spans="3:9" ht="15.75" customHeight="1" x14ac:dyDescent="0.2">
      <c r="C997" s="21"/>
      <c r="D997" s="22"/>
      <c r="E997" s="22"/>
      <c r="F997" s="22"/>
      <c r="G997" s="22"/>
      <c r="H997" s="22"/>
      <c r="I997" s="22"/>
    </row>
    <row r="998" spans="3:9" ht="15.75" customHeight="1" x14ac:dyDescent="0.2">
      <c r="C998" s="21"/>
      <c r="D998" s="22"/>
      <c r="E998" s="22"/>
      <c r="F998" s="22"/>
      <c r="G998" s="22"/>
      <c r="H998" s="22"/>
      <c r="I998" s="22"/>
    </row>
    <row r="999" spans="3:9" ht="15.75" customHeight="1" x14ac:dyDescent="0.2">
      <c r="C999" s="21"/>
      <c r="D999" s="22"/>
      <c r="E999" s="22"/>
      <c r="F999" s="22"/>
      <c r="G999" s="22"/>
      <c r="H999" s="22"/>
      <c r="I999" s="22"/>
    </row>
    <row r="1000" spans="3:9" ht="15.75" customHeight="1" x14ac:dyDescent="0.2">
      <c r="C1000" s="21"/>
      <c r="D1000" s="22"/>
      <c r="E1000" s="22"/>
      <c r="F1000" s="22"/>
      <c r="G1000" s="22"/>
      <c r="H1000" s="22"/>
      <c r="I1000" s="22"/>
    </row>
  </sheetData>
  <pageMargins left="0.7" right="0.7" top="0.75" bottom="0.75" header="0" footer="0"/>
  <pageSetup scale="50" orientation="portrait"/>
  <headerFooter>
    <oddFooter>&amp;R&amp;"Calibri (Corps),Normal"&amp;14JF Dubroca/ Janvier 2025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D1000"/>
  <sheetViews>
    <sheetView showGridLines="0" zoomScale="167" zoomScaleNormal="167" workbookViewId="0">
      <selection activeCell="F19" sqref="F19"/>
    </sheetView>
  </sheetViews>
  <sheetFormatPr baseColWidth="10" defaultColWidth="14.5" defaultRowHeight="15" customHeight="1" x14ac:dyDescent="0.2"/>
  <cols>
    <col min="1" max="1" width="10.5" customWidth="1"/>
    <col min="2" max="2" width="13" customWidth="1"/>
    <col min="3" max="3" width="9.5" customWidth="1"/>
    <col min="4" max="4" width="22.5" customWidth="1"/>
    <col min="5" max="5" width="10.6640625" customWidth="1"/>
    <col min="6" max="6" width="18.83203125" bestFit="1" customWidth="1"/>
    <col min="7" max="7" width="16.6640625" bestFit="1" customWidth="1"/>
    <col min="8" max="8" width="17.6640625" bestFit="1" customWidth="1"/>
    <col min="9" max="9" width="11" bestFit="1" customWidth="1"/>
    <col min="10" max="26" width="10.6640625" customWidth="1"/>
  </cols>
  <sheetData>
    <row r="1" spans="1:4" x14ac:dyDescent="0.2">
      <c r="A1" s="90" t="s">
        <v>23</v>
      </c>
      <c r="B1" s="91" t="s">
        <v>24</v>
      </c>
      <c r="C1" s="92" t="s">
        <v>25</v>
      </c>
      <c r="D1" s="90" t="s">
        <v>26</v>
      </c>
    </row>
    <row r="2" spans="1:4" x14ac:dyDescent="0.2">
      <c r="A2" s="24">
        <v>16</v>
      </c>
      <c r="B2" s="25">
        <v>5.22</v>
      </c>
      <c r="C2" s="26">
        <v>48.26</v>
      </c>
      <c r="D2" s="24" t="s">
        <v>8</v>
      </c>
    </row>
    <row r="3" spans="1:4" x14ac:dyDescent="0.2">
      <c r="A3" s="27">
        <v>52</v>
      </c>
      <c r="B3" s="28">
        <v>6.17</v>
      </c>
      <c r="C3" s="29">
        <v>55.46</v>
      </c>
      <c r="D3" s="27" t="s">
        <v>8</v>
      </c>
    </row>
    <row r="4" spans="1:4" x14ac:dyDescent="0.2">
      <c r="A4" s="24">
        <v>58</v>
      </c>
      <c r="B4" s="25">
        <v>5.36</v>
      </c>
      <c r="C4" s="26">
        <v>53.2</v>
      </c>
      <c r="D4" s="24" t="s">
        <v>8</v>
      </c>
    </row>
    <row r="5" spans="1:4" x14ac:dyDescent="0.2">
      <c r="A5" s="27">
        <v>11</v>
      </c>
      <c r="B5" s="28">
        <v>5.46</v>
      </c>
      <c r="C5" s="29">
        <v>47.61</v>
      </c>
      <c r="D5" s="27" t="s">
        <v>8</v>
      </c>
    </row>
    <row r="6" spans="1:4" x14ac:dyDescent="0.2">
      <c r="A6" s="24">
        <v>25</v>
      </c>
      <c r="B6" s="25">
        <v>9.77</v>
      </c>
      <c r="C6" s="26">
        <v>81.569999999999993</v>
      </c>
      <c r="D6" s="24" t="s">
        <v>8</v>
      </c>
    </row>
    <row r="7" spans="1:4" x14ac:dyDescent="0.2">
      <c r="A7" s="27">
        <v>40</v>
      </c>
      <c r="B7" s="28">
        <v>6.96</v>
      </c>
      <c r="C7" s="29">
        <v>63.5</v>
      </c>
      <c r="D7" s="27" t="s">
        <v>8</v>
      </c>
    </row>
    <row r="8" spans="1:4" x14ac:dyDescent="0.2">
      <c r="A8" s="24">
        <v>8</v>
      </c>
      <c r="B8" s="25">
        <v>5.64</v>
      </c>
      <c r="C8" s="26">
        <v>46.17</v>
      </c>
      <c r="D8" s="24" t="s">
        <v>8</v>
      </c>
    </row>
    <row r="9" spans="1:4" x14ac:dyDescent="0.2">
      <c r="A9" s="27">
        <v>1</v>
      </c>
      <c r="B9" s="28">
        <v>4.5599999999999996</v>
      </c>
      <c r="C9" s="29">
        <v>46.9</v>
      </c>
      <c r="D9" s="27" t="s">
        <v>8</v>
      </c>
    </row>
    <row r="10" spans="1:4" x14ac:dyDescent="0.2">
      <c r="A10" s="24">
        <v>36</v>
      </c>
      <c r="B10" s="25">
        <v>5.2</v>
      </c>
      <c r="C10" s="26">
        <v>39.99</v>
      </c>
      <c r="D10" s="24" t="s">
        <v>8</v>
      </c>
    </row>
    <row r="11" spans="1:4" x14ac:dyDescent="0.2">
      <c r="A11" s="27">
        <v>14</v>
      </c>
      <c r="B11" s="28">
        <v>6.28</v>
      </c>
      <c r="C11" s="29">
        <v>58.85</v>
      </c>
      <c r="D11" s="27" t="s">
        <v>8</v>
      </c>
    </row>
    <row r="12" spans="1:4" x14ac:dyDescent="0.2">
      <c r="A12" s="24">
        <v>17</v>
      </c>
      <c r="B12" s="25">
        <v>6.06</v>
      </c>
      <c r="C12" s="26">
        <v>55.41</v>
      </c>
      <c r="D12" s="24" t="s">
        <v>8</v>
      </c>
    </row>
    <row r="13" spans="1:4" x14ac:dyDescent="0.2">
      <c r="A13" s="27">
        <v>19</v>
      </c>
      <c r="B13" s="28">
        <v>6.57</v>
      </c>
      <c r="C13" s="29">
        <v>64.61</v>
      </c>
      <c r="D13" s="27" t="s">
        <v>8</v>
      </c>
    </row>
    <row r="14" spans="1:4" x14ac:dyDescent="0.2">
      <c r="A14" s="24">
        <v>36</v>
      </c>
      <c r="B14" s="25">
        <v>4.24</v>
      </c>
      <c r="C14" s="26">
        <v>45.75</v>
      </c>
      <c r="D14" s="24" t="s">
        <v>8</v>
      </c>
    </row>
    <row r="15" spans="1:4" x14ac:dyDescent="0.2">
      <c r="A15" s="27">
        <v>45</v>
      </c>
      <c r="B15" s="28">
        <v>8.7100000000000009</v>
      </c>
      <c r="C15" s="29">
        <v>73.91</v>
      </c>
      <c r="D15" s="27" t="s">
        <v>8</v>
      </c>
    </row>
    <row r="16" spans="1:4" x14ac:dyDescent="0.2">
      <c r="A16" s="24">
        <v>3</v>
      </c>
      <c r="B16" s="25">
        <v>6.22</v>
      </c>
      <c r="C16" s="26">
        <v>51.33</v>
      </c>
      <c r="D16" s="24" t="s">
        <v>8</v>
      </c>
    </row>
    <row r="17" spans="1:4" x14ac:dyDescent="0.2">
      <c r="A17" s="27">
        <v>39</v>
      </c>
      <c r="B17" s="28">
        <v>5.47</v>
      </c>
      <c r="C17" s="29">
        <v>49.61</v>
      </c>
      <c r="D17" s="27" t="s">
        <v>8</v>
      </c>
    </row>
    <row r="18" spans="1:4" x14ac:dyDescent="0.2">
      <c r="A18" s="24">
        <v>15</v>
      </c>
      <c r="B18" s="25">
        <v>9.98</v>
      </c>
      <c r="C18" s="26">
        <v>83.73</v>
      </c>
      <c r="D18" s="24" t="s">
        <v>8</v>
      </c>
    </row>
    <row r="19" spans="1:4" x14ac:dyDescent="0.2">
      <c r="A19" s="27">
        <v>28</v>
      </c>
      <c r="B19" s="28">
        <v>5.39</v>
      </c>
      <c r="C19" s="29">
        <v>44.63</v>
      </c>
      <c r="D19" s="27" t="s">
        <v>8</v>
      </c>
    </row>
    <row r="20" spans="1:4" x14ac:dyDescent="0.2">
      <c r="A20" s="24">
        <v>7</v>
      </c>
      <c r="B20" s="25">
        <v>9.9499999999999993</v>
      </c>
      <c r="C20" s="26">
        <v>80.989999999999995</v>
      </c>
      <c r="D20" s="24" t="s">
        <v>8</v>
      </c>
    </row>
    <row r="21" spans="1:4" ht="15.75" customHeight="1" x14ac:dyDescent="0.2">
      <c r="A21" s="27">
        <v>41</v>
      </c>
      <c r="B21" s="28">
        <v>9.23</v>
      </c>
      <c r="C21" s="29">
        <v>74.239999999999995</v>
      </c>
      <c r="D21" s="27" t="s">
        <v>8</v>
      </c>
    </row>
    <row r="22" spans="1:4" ht="15.75" customHeight="1" x14ac:dyDescent="0.2">
      <c r="A22" s="24">
        <v>18</v>
      </c>
      <c r="B22" s="25">
        <v>8.39</v>
      </c>
      <c r="C22" s="26">
        <v>72.72</v>
      </c>
      <c r="D22" s="24" t="s">
        <v>8</v>
      </c>
    </row>
    <row r="23" spans="1:4" ht="15.75" customHeight="1" x14ac:dyDescent="0.2">
      <c r="A23" s="27">
        <v>23</v>
      </c>
      <c r="B23" s="28">
        <v>5.41</v>
      </c>
      <c r="C23" s="29">
        <v>44.6</v>
      </c>
      <c r="D23" s="27" t="s">
        <v>8</v>
      </c>
    </row>
    <row r="24" spans="1:4" ht="15.75" customHeight="1" x14ac:dyDescent="0.2">
      <c r="A24" s="24">
        <v>7</v>
      </c>
      <c r="B24" s="25">
        <v>7.45</v>
      </c>
      <c r="C24" s="26">
        <v>57.16</v>
      </c>
      <c r="D24" s="24" t="s">
        <v>8</v>
      </c>
    </row>
    <row r="25" spans="1:4" ht="15.75" customHeight="1" x14ac:dyDescent="0.2">
      <c r="A25" s="27">
        <v>43</v>
      </c>
      <c r="B25" s="28">
        <v>5.03</v>
      </c>
      <c r="C25" s="29">
        <v>41.59</v>
      </c>
      <c r="D25" s="27" t="s">
        <v>8</v>
      </c>
    </row>
    <row r="26" spans="1:4" ht="15.75" customHeight="1" x14ac:dyDescent="0.2">
      <c r="A26" s="24">
        <v>14</v>
      </c>
      <c r="B26" s="25">
        <v>5.15</v>
      </c>
      <c r="C26" s="26">
        <v>52.61</v>
      </c>
      <c r="D26" s="24" t="s">
        <v>8</v>
      </c>
    </row>
    <row r="27" spans="1:4" ht="15.75" customHeight="1" x14ac:dyDescent="0.2">
      <c r="A27" s="27">
        <v>7</v>
      </c>
      <c r="B27" s="28">
        <v>6.43</v>
      </c>
      <c r="C27" s="29">
        <v>54.95</v>
      </c>
      <c r="D27" s="27" t="s">
        <v>8</v>
      </c>
    </row>
    <row r="28" spans="1:4" ht="15.75" customHeight="1" x14ac:dyDescent="0.2">
      <c r="A28" s="24">
        <v>39</v>
      </c>
      <c r="B28" s="25">
        <v>8.93</v>
      </c>
      <c r="C28" s="26">
        <v>72.44</v>
      </c>
      <c r="D28" s="24" t="s">
        <v>8</v>
      </c>
    </row>
    <row r="29" spans="1:4" ht="15.75" customHeight="1" x14ac:dyDescent="0.2">
      <c r="A29" s="27">
        <v>12</v>
      </c>
      <c r="B29" s="28">
        <v>8.44</v>
      </c>
      <c r="C29" s="29">
        <v>68.91</v>
      </c>
      <c r="D29" s="27" t="s">
        <v>8</v>
      </c>
    </row>
    <row r="30" spans="1:4" ht="15.75" customHeight="1" x14ac:dyDescent="0.2">
      <c r="A30" s="24">
        <v>31</v>
      </c>
      <c r="B30" s="25">
        <v>8.92</v>
      </c>
      <c r="C30" s="26">
        <v>77.150000000000006</v>
      </c>
      <c r="D30" s="24" t="s">
        <v>8</v>
      </c>
    </row>
    <row r="31" spans="1:4" ht="15.75" customHeight="1" x14ac:dyDescent="0.2">
      <c r="A31" s="27">
        <v>29</v>
      </c>
      <c r="B31" s="28">
        <v>5.47</v>
      </c>
      <c r="C31" s="29">
        <v>44.4</v>
      </c>
      <c r="D31" s="27" t="s">
        <v>8</v>
      </c>
    </row>
    <row r="32" spans="1:4" ht="15.75" customHeight="1" x14ac:dyDescent="0.2">
      <c r="A32" s="24">
        <v>5</v>
      </c>
      <c r="B32" s="25">
        <v>7.28</v>
      </c>
      <c r="C32" s="26">
        <v>62.93</v>
      </c>
      <c r="D32" s="24" t="s">
        <v>8</v>
      </c>
    </row>
    <row r="33" spans="1:4" ht="15.75" customHeight="1" x14ac:dyDescent="0.2">
      <c r="A33" s="27">
        <v>1</v>
      </c>
      <c r="B33" s="28">
        <v>4.84</v>
      </c>
      <c r="C33" s="29">
        <v>37.46</v>
      </c>
      <c r="D33" s="27" t="s">
        <v>8</v>
      </c>
    </row>
    <row r="34" spans="1:4" ht="15.75" customHeight="1" x14ac:dyDescent="0.2">
      <c r="A34" s="24">
        <v>28</v>
      </c>
      <c r="B34" s="25">
        <v>7.6</v>
      </c>
      <c r="C34" s="26">
        <v>73.75</v>
      </c>
      <c r="D34" s="24" t="s">
        <v>8</v>
      </c>
    </row>
    <row r="35" spans="1:4" ht="15.75" customHeight="1" x14ac:dyDescent="0.2">
      <c r="A35" s="27">
        <v>35</v>
      </c>
      <c r="B35" s="28">
        <v>9.07</v>
      </c>
      <c r="C35" s="29">
        <v>67.150000000000006</v>
      </c>
      <c r="D35" s="27" t="s">
        <v>8</v>
      </c>
    </row>
    <row r="36" spans="1:4" ht="15.75" customHeight="1" x14ac:dyDescent="0.2">
      <c r="A36" s="24">
        <v>62</v>
      </c>
      <c r="B36" s="25">
        <v>9.91</v>
      </c>
      <c r="C36" s="26">
        <v>77.400000000000006</v>
      </c>
      <c r="D36" s="24" t="s">
        <v>8</v>
      </c>
    </row>
    <row r="37" spans="1:4" ht="15.75" customHeight="1" x14ac:dyDescent="0.2">
      <c r="A37" s="27">
        <v>31</v>
      </c>
      <c r="B37" s="28">
        <v>6.38</v>
      </c>
      <c r="C37" s="29">
        <v>63.51</v>
      </c>
      <c r="D37" s="27" t="s">
        <v>8</v>
      </c>
    </row>
    <row r="38" spans="1:4" ht="15.75" customHeight="1" x14ac:dyDescent="0.2">
      <c r="A38" s="24">
        <v>3</v>
      </c>
      <c r="B38" s="25">
        <v>5.63</v>
      </c>
      <c r="C38" s="26">
        <v>51.14</v>
      </c>
      <c r="D38" s="24" t="s">
        <v>8</v>
      </c>
    </row>
    <row r="39" spans="1:4" ht="15.75" customHeight="1" x14ac:dyDescent="0.2">
      <c r="A39" s="27">
        <v>53</v>
      </c>
      <c r="B39" s="28">
        <v>8.7200000000000006</v>
      </c>
      <c r="C39" s="29">
        <v>70.61</v>
      </c>
      <c r="D39" s="27" t="s">
        <v>8</v>
      </c>
    </row>
    <row r="40" spans="1:4" ht="15.75" customHeight="1" x14ac:dyDescent="0.2">
      <c r="A40" s="24">
        <v>31</v>
      </c>
      <c r="B40" s="25">
        <v>4.55</v>
      </c>
      <c r="C40" s="26">
        <v>44.23</v>
      </c>
      <c r="D40" s="24" t="s">
        <v>8</v>
      </c>
    </row>
    <row r="41" spans="1:4" ht="15.75" customHeight="1" x14ac:dyDescent="0.2">
      <c r="A41" s="27">
        <v>31</v>
      </c>
      <c r="B41" s="28">
        <v>6.55</v>
      </c>
      <c r="C41" s="29">
        <v>50.83</v>
      </c>
      <c r="D41" s="27" t="s">
        <v>8</v>
      </c>
    </row>
    <row r="42" spans="1:4" ht="15.75" customHeight="1" x14ac:dyDescent="0.2">
      <c r="A42" s="24">
        <v>22</v>
      </c>
      <c r="B42" s="25">
        <v>4.1500000000000004</v>
      </c>
      <c r="C42" s="26">
        <v>45.83</v>
      </c>
      <c r="D42" s="24" t="s">
        <v>8</v>
      </c>
    </row>
    <row r="43" spans="1:4" ht="15.75" customHeight="1" x14ac:dyDescent="0.2">
      <c r="A43" s="27">
        <v>20</v>
      </c>
      <c r="B43" s="28">
        <v>6.41</v>
      </c>
      <c r="C43" s="29">
        <v>45.66</v>
      </c>
      <c r="D43" s="27" t="s">
        <v>8</v>
      </c>
    </row>
    <row r="44" spans="1:4" ht="15.75" customHeight="1" x14ac:dyDescent="0.2">
      <c r="A44" s="24">
        <v>42</v>
      </c>
      <c r="B44" s="25">
        <v>7.52</v>
      </c>
      <c r="C44" s="26">
        <v>54.57</v>
      </c>
      <c r="D44" s="24" t="s">
        <v>8</v>
      </c>
    </row>
    <row r="45" spans="1:4" ht="15.75" customHeight="1" x14ac:dyDescent="0.2">
      <c r="A45" s="27">
        <v>16</v>
      </c>
      <c r="B45" s="28">
        <v>5.91</v>
      </c>
      <c r="C45" s="29">
        <v>56.36</v>
      </c>
      <c r="D45" s="27" t="s">
        <v>8</v>
      </c>
    </row>
    <row r="46" spans="1:4" ht="15.75" customHeight="1" x14ac:dyDescent="0.2">
      <c r="A46" s="24">
        <v>20</v>
      </c>
      <c r="B46" s="25">
        <v>8.31</v>
      </c>
      <c r="C46" s="26">
        <v>64.02</v>
      </c>
      <c r="D46" s="24" t="s">
        <v>8</v>
      </c>
    </row>
    <row r="47" spans="1:4" ht="15.75" customHeight="1" x14ac:dyDescent="0.2">
      <c r="A47" s="27">
        <v>15</v>
      </c>
      <c r="B47" s="28">
        <v>9.59</v>
      </c>
      <c r="C47" s="29">
        <v>71.150000000000006</v>
      </c>
      <c r="D47" s="27" t="s">
        <v>8</v>
      </c>
    </row>
    <row r="48" spans="1:4" ht="15.75" customHeight="1" x14ac:dyDescent="0.2">
      <c r="A48" s="24">
        <v>35</v>
      </c>
      <c r="B48" s="25">
        <v>4.88</v>
      </c>
      <c r="C48" s="26">
        <v>46.33</v>
      </c>
      <c r="D48" s="24" t="s">
        <v>8</v>
      </c>
    </row>
    <row r="49" spans="1:4" ht="15.75" customHeight="1" x14ac:dyDescent="0.2">
      <c r="A49" s="27">
        <v>28</v>
      </c>
      <c r="B49" s="28">
        <v>7.21</v>
      </c>
      <c r="C49" s="29">
        <v>52.08</v>
      </c>
      <c r="D49" s="27" t="s">
        <v>8</v>
      </c>
    </row>
    <row r="50" spans="1:4" ht="15.75" customHeight="1" x14ac:dyDescent="0.2">
      <c r="A50" s="24">
        <v>46</v>
      </c>
      <c r="B50" s="25">
        <v>9.93</v>
      </c>
      <c r="C50" s="26">
        <v>80.16</v>
      </c>
      <c r="D50" s="24" t="s">
        <v>8</v>
      </c>
    </row>
    <row r="51" spans="1:4" ht="15.75" customHeight="1" x14ac:dyDescent="0.2">
      <c r="A51" s="27">
        <v>31</v>
      </c>
      <c r="B51" s="28">
        <v>9.6</v>
      </c>
      <c r="C51" s="29">
        <v>79.55</v>
      </c>
      <c r="D51" s="27" t="s">
        <v>8</v>
      </c>
    </row>
    <row r="52" spans="1:4" ht="15.75" customHeight="1" x14ac:dyDescent="0.2">
      <c r="A52" s="24">
        <v>29</v>
      </c>
      <c r="B52" s="25">
        <v>9.02</v>
      </c>
      <c r="C52" s="26">
        <v>78.27</v>
      </c>
      <c r="D52" s="24" t="s">
        <v>8</v>
      </c>
    </row>
    <row r="53" spans="1:4" ht="15.75" customHeight="1" x14ac:dyDescent="0.2">
      <c r="A53" s="27">
        <v>28</v>
      </c>
      <c r="B53" s="28">
        <v>5.34</v>
      </c>
      <c r="C53" s="29">
        <v>51.69</v>
      </c>
      <c r="D53" s="27" t="s">
        <v>8</v>
      </c>
    </row>
    <row r="54" spans="1:4" ht="15.75" customHeight="1" x14ac:dyDescent="0.2">
      <c r="A54" s="24">
        <v>28</v>
      </c>
      <c r="B54" s="25">
        <v>9.49</v>
      </c>
      <c r="C54" s="26">
        <v>80.47</v>
      </c>
      <c r="D54" s="24" t="s">
        <v>8</v>
      </c>
    </row>
    <row r="55" spans="1:4" ht="15.75" customHeight="1" x14ac:dyDescent="0.2">
      <c r="A55" s="27">
        <v>25</v>
      </c>
      <c r="B55" s="28">
        <v>7.98</v>
      </c>
      <c r="C55" s="29">
        <v>66.28</v>
      </c>
      <c r="D55" s="27" t="s">
        <v>8</v>
      </c>
    </row>
    <row r="56" spans="1:4" ht="15.75" customHeight="1" x14ac:dyDescent="0.2">
      <c r="A56" s="24">
        <v>31</v>
      </c>
      <c r="B56" s="25">
        <v>7.33</v>
      </c>
      <c r="C56" s="26">
        <v>57</v>
      </c>
      <c r="D56" s="24" t="s">
        <v>8</v>
      </c>
    </row>
    <row r="57" spans="1:4" ht="15.75" customHeight="1" x14ac:dyDescent="0.2">
      <c r="A57" s="27">
        <v>19</v>
      </c>
      <c r="B57" s="28">
        <v>7.59</v>
      </c>
      <c r="C57" s="29">
        <v>58.01</v>
      </c>
      <c r="D57" s="27" t="s">
        <v>8</v>
      </c>
    </row>
    <row r="58" spans="1:4" ht="15.75" customHeight="1" x14ac:dyDescent="0.2">
      <c r="A58" s="24">
        <v>38</v>
      </c>
      <c r="B58" s="25">
        <v>6.82</v>
      </c>
      <c r="C58" s="26">
        <v>52.3</v>
      </c>
      <c r="D58" s="24" t="s">
        <v>8</v>
      </c>
    </row>
    <row r="59" spans="1:4" ht="15.75" customHeight="1" x14ac:dyDescent="0.2">
      <c r="A59" s="27">
        <v>67</v>
      </c>
      <c r="B59" s="28">
        <v>4.17</v>
      </c>
      <c r="C59" s="29">
        <v>38.17</v>
      </c>
      <c r="D59" s="27" t="s">
        <v>8</v>
      </c>
    </row>
    <row r="60" spans="1:4" ht="15.75" customHeight="1" x14ac:dyDescent="0.2">
      <c r="A60" s="24">
        <v>24</v>
      </c>
      <c r="B60" s="25">
        <v>4.4800000000000004</v>
      </c>
      <c r="C60" s="26">
        <v>38.24</v>
      </c>
      <c r="D60" s="24" t="s">
        <v>8</v>
      </c>
    </row>
    <row r="61" spans="1:4" ht="15.75" customHeight="1" x14ac:dyDescent="0.2">
      <c r="A61" s="27">
        <v>18</v>
      </c>
      <c r="B61" s="28">
        <v>9.1999999999999993</v>
      </c>
      <c r="C61" s="29">
        <v>76.39</v>
      </c>
      <c r="D61" s="27" t="s">
        <v>8</v>
      </c>
    </row>
    <row r="62" spans="1:4" ht="15.75" customHeight="1" x14ac:dyDescent="0.2">
      <c r="A62" s="24">
        <v>26</v>
      </c>
      <c r="B62" s="25">
        <v>8.14</v>
      </c>
      <c r="C62" s="26">
        <v>63.07</v>
      </c>
      <c r="D62" s="24" t="s">
        <v>8</v>
      </c>
    </row>
    <row r="63" spans="1:4" ht="15.75" customHeight="1" x14ac:dyDescent="0.2">
      <c r="A63" s="27">
        <v>49</v>
      </c>
      <c r="B63" s="28">
        <v>6.76</v>
      </c>
      <c r="C63" s="29">
        <v>59.39</v>
      </c>
      <c r="D63" s="27" t="s">
        <v>8</v>
      </c>
    </row>
    <row r="64" spans="1:4" ht="15.75" customHeight="1" x14ac:dyDescent="0.2">
      <c r="A64" s="24">
        <v>45</v>
      </c>
      <c r="B64" s="25">
        <v>4.59</v>
      </c>
      <c r="C64" s="26">
        <v>44.25</v>
      </c>
      <c r="D64" s="24" t="s">
        <v>8</v>
      </c>
    </row>
    <row r="65" spans="1:4" ht="15.75" customHeight="1" x14ac:dyDescent="0.2">
      <c r="A65" s="27">
        <v>37</v>
      </c>
      <c r="B65" s="28">
        <v>8.8000000000000007</v>
      </c>
      <c r="C65" s="29">
        <v>68.760000000000005</v>
      </c>
      <c r="D65" s="27" t="s">
        <v>8</v>
      </c>
    </row>
    <row r="66" spans="1:4" ht="15.75" customHeight="1" x14ac:dyDescent="0.2">
      <c r="A66" s="24">
        <v>29</v>
      </c>
      <c r="B66" s="25">
        <v>6.59</v>
      </c>
      <c r="C66" s="26">
        <v>52.87</v>
      </c>
      <c r="D66" s="24" t="s">
        <v>8</v>
      </c>
    </row>
    <row r="67" spans="1:4" ht="15.75" customHeight="1" x14ac:dyDescent="0.2">
      <c r="A67" s="27">
        <v>38</v>
      </c>
      <c r="B67" s="28">
        <v>4.57</v>
      </c>
      <c r="C67" s="29">
        <v>40.86</v>
      </c>
      <c r="D67" s="27" t="s">
        <v>8</v>
      </c>
    </row>
    <row r="68" spans="1:4" ht="15.75" customHeight="1" x14ac:dyDescent="0.2">
      <c r="A68" s="24">
        <v>36</v>
      </c>
      <c r="B68" s="25">
        <v>6.97</v>
      </c>
      <c r="C68" s="26">
        <v>58.86</v>
      </c>
      <c r="D68" s="24" t="s">
        <v>8</v>
      </c>
    </row>
    <row r="69" spans="1:4" ht="15.75" customHeight="1" x14ac:dyDescent="0.2">
      <c r="A69" s="27">
        <v>34</v>
      </c>
      <c r="B69" s="28">
        <v>6.82</v>
      </c>
      <c r="C69" s="29">
        <v>55.6</v>
      </c>
      <c r="D69" s="27" t="s">
        <v>8</v>
      </c>
    </row>
    <row r="70" spans="1:4" ht="15.75" customHeight="1" x14ac:dyDescent="0.2">
      <c r="A70" s="24">
        <v>43</v>
      </c>
      <c r="B70" s="25">
        <v>5.56</v>
      </c>
      <c r="C70" s="26">
        <v>43.2</v>
      </c>
      <c r="D70" s="24" t="s">
        <v>8</v>
      </c>
    </row>
    <row r="71" spans="1:4" ht="15.75" customHeight="1" x14ac:dyDescent="0.2">
      <c r="A71" s="27">
        <v>28</v>
      </c>
      <c r="B71" s="28">
        <v>5.29</v>
      </c>
      <c r="C71" s="29">
        <v>46.77</v>
      </c>
      <c r="D71" s="27" t="s">
        <v>8</v>
      </c>
    </row>
    <row r="72" spans="1:4" ht="15.75" customHeight="1" x14ac:dyDescent="0.2">
      <c r="A72" s="24">
        <v>11</v>
      </c>
      <c r="B72" s="25">
        <v>6.64</v>
      </c>
      <c r="C72" s="26">
        <v>52.51</v>
      </c>
      <c r="D72" s="24" t="s">
        <v>8</v>
      </c>
    </row>
    <row r="73" spans="1:4" ht="15.75" customHeight="1" x14ac:dyDescent="0.2">
      <c r="A73" s="27">
        <v>7</v>
      </c>
      <c r="B73" s="28">
        <v>7.75</v>
      </c>
      <c r="C73" s="29">
        <v>54.28</v>
      </c>
      <c r="D73" s="27" t="s">
        <v>8</v>
      </c>
    </row>
    <row r="74" spans="1:4" ht="15.75" customHeight="1" x14ac:dyDescent="0.2">
      <c r="A74" s="24">
        <v>33</v>
      </c>
      <c r="B74" s="25">
        <v>6.99</v>
      </c>
      <c r="C74" s="26">
        <v>54.32</v>
      </c>
      <c r="D74" s="24" t="s">
        <v>8</v>
      </c>
    </row>
    <row r="75" spans="1:4" ht="15.75" customHeight="1" x14ac:dyDescent="0.2">
      <c r="A75" s="27">
        <v>20</v>
      </c>
      <c r="B75" s="28">
        <v>7.31</v>
      </c>
      <c r="C75" s="29">
        <v>57.02</v>
      </c>
      <c r="D75" s="27" t="s">
        <v>8</v>
      </c>
    </row>
    <row r="76" spans="1:4" ht="15.75" customHeight="1" x14ac:dyDescent="0.2">
      <c r="A76" s="24">
        <v>24</v>
      </c>
      <c r="B76" s="25">
        <v>8.6</v>
      </c>
      <c r="C76" s="26">
        <v>68.48</v>
      </c>
      <c r="D76" s="24" t="s">
        <v>8</v>
      </c>
    </row>
    <row r="77" spans="1:4" ht="15.75" customHeight="1" x14ac:dyDescent="0.2">
      <c r="A77" s="27">
        <v>30</v>
      </c>
      <c r="B77" s="28">
        <v>4.93</v>
      </c>
      <c r="C77" s="29">
        <v>43.97</v>
      </c>
      <c r="D77" s="27" t="s">
        <v>8</v>
      </c>
    </row>
    <row r="78" spans="1:4" ht="15.75" customHeight="1" x14ac:dyDescent="0.2">
      <c r="A78" s="24">
        <v>24</v>
      </c>
      <c r="B78" s="25">
        <v>4.05</v>
      </c>
      <c r="C78" s="26">
        <v>47.74</v>
      </c>
      <c r="D78" s="24" t="s">
        <v>8</v>
      </c>
    </row>
    <row r="79" spans="1:4" ht="15.75" customHeight="1" x14ac:dyDescent="0.2">
      <c r="A79" s="27">
        <v>6</v>
      </c>
      <c r="B79" s="28">
        <v>9.0500000000000007</v>
      </c>
      <c r="C79" s="29">
        <v>77.84</v>
      </c>
      <c r="D79" s="27" t="s">
        <v>8</v>
      </c>
    </row>
    <row r="80" spans="1:4" ht="15.75" customHeight="1" x14ac:dyDescent="0.2">
      <c r="A80" s="24">
        <v>36</v>
      </c>
      <c r="B80" s="25">
        <v>5.77</v>
      </c>
      <c r="C80" s="26">
        <v>46.76</v>
      </c>
      <c r="D80" s="24" t="s">
        <v>8</v>
      </c>
    </row>
    <row r="81" spans="1:4" ht="15.75" customHeight="1" x14ac:dyDescent="0.2">
      <c r="A81" s="27">
        <v>26</v>
      </c>
      <c r="B81" s="28">
        <v>7.37</v>
      </c>
      <c r="C81" s="29">
        <v>69.61</v>
      </c>
      <c r="D81" s="27" t="s">
        <v>8</v>
      </c>
    </row>
    <row r="82" spans="1:4" ht="15.75" customHeight="1" x14ac:dyDescent="0.2">
      <c r="A82" s="24">
        <v>6</v>
      </c>
      <c r="B82" s="25">
        <v>6.34</v>
      </c>
      <c r="C82" s="26">
        <v>52.36</v>
      </c>
      <c r="D82" s="24" t="s">
        <v>8</v>
      </c>
    </row>
    <row r="83" spans="1:4" ht="15.75" customHeight="1" x14ac:dyDescent="0.2">
      <c r="A83" s="27">
        <v>41</v>
      </c>
      <c r="B83" s="28">
        <v>5.14</v>
      </c>
      <c r="C83" s="29">
        <v>46.8</v>
      </c>
      <c r="D83" s="27" t="s">
        <v>8</v>
      </c>
    </row>
    <row r="84" spans="1:4" ht="15.75" customHeight="1" x14ac:dyDescent="0.2">
      <c r="A84" s="24">
        <v>5</v>
      </c>
      <c r="B84" s="25">
        <v>5.43</v>
      </c>
      <c r="C84" s="26">
        <v>39.72</v>
      </c>
      <c r="D84" s="24" t="s">
        <v>8</v>
      </c>
    </row>
    <row r="85" spans="1:4" ht="15.75" customHeight="1" x14ac:dyDescent="0.2">
      <c r="A85" s="27">
        <v>6</v>
      </c>
      <c r="B85" s="28">
        <v>8.98</v>
      </c>
      <c r="C85" s="29">
        <v>72.540000000000006</v>
      </c>
      <c r="D85" s="27" t="s">
        <v>8</v>
      </c>
    </row>
    <row r="86" spans="1:4" ht="15.75" customHeight="1" x14ac:dyDescent="0.2">
      <c r="A86" s="24">
        <v>7</v>
      </c>
      <c r="B86" s="25">
        <v>8.9600000000000009</v>
      </c>
      <c r="C86" s="26">
        <v>79.349999999999994</v>
      </c>
      <c r="D86" s="24" t="s">
        <v>8</v>
      </c>
    </row>
    <row r="87" spans="1:4" ht="15.75" customHeight="1" x14ac:dyDescent="0.2">
      <c r="A87" s="27">
        <v>38</v>
      </c>
      <c r="B87" s="28">
        <v>7.34</v>
      </c>
      <c r="C87" s="29">
        <v>56.7</v>
      </c>
      <c r="D87" s="27" t="s">
        <v>8</v>
      </c>
    </row>
    <row r="88" spans="1:4" ht="15.75" customHeight="1" x14ac:dyDescent="0.2">
      <c r="A88" s="24">
        <v>1</v>
      </c>
      <c r="B88" s="25">
        <v>6.81</v>
      </c>
      <c r="C88" s="26">
        <v>64.599999999999994</v>
      </c>
      <c r="D88" s="24" t="s">
        <v>8</v>
      </c>
    </row>
    <row r="89" spans="1:4" ht="15.75" customHeight="1" x14ac:dyDescent="0.2">
      <c r="A89" s="27">
        <v>24</v>
      </c>
      <c r="B89" s="28">
        <v>7.9</v>
      </c>
      <c r="C89" s="29">
        <v>65.95</v>
      </c>
      <c r="D89" s="27" t="s">
        <v>8</v>
      </c>
    </row>
    <row r="90" spans="1:4" ht="15.75" customHeight="1" x14ac:dyDescent="0.2">
      <c r="A90" s="24">
        <v>10</v>
      </c>
      <c r="B90" s="25">
        <v>6.69</v>
      </c>
      <c r="C90" s="26">
        <v>57.47</v>
      </c>
      <c r="D90" s="24" t="s">
        <v>8</v>
      </c>
    </row>
    <row r="91" spans="1:4" ht="15.75" customHeight="1" x14ac:dyDescent="0.2">
      <c r="A91" s="27">
        <v>10</v>
      </c>
      <c r="B91" s="28">
        <v>7.21</v>
      </c>
      <c r="C91" s="29">
        <v>56.66</v>
      </c>
      <c r="D91" s="27" t="s">
        <v>8</v>
      </c>
    </row>
    <row r="92" spans="1:4" ht="15.75" customHeight="1" x14ac:dyDescent="0.2">
      <c r="A92" s="24">
        <v>16</v>
      </c>
      <c r="B92" s="25">
        <v>9.15</v>
      </c>
      <c r="C92" s="26">
        <v>69.040000000000006</v>
      </c>
      <c r="D92" s="24" t="s">
        <v>8</v>
      </c>
    </row>
    <row r="93" spans="1:4" ht="15.75" customHeight="1" x14ac:dyDescent="0.2">
      <c r="A93" s="27">
        <v>23</v>
      </c>
      <c r="B93" s="28">
        <v>4.17</v>
      </c>
      <c r="C93" s="29">
        <v>39.58</v>
      </c>
      <c r="D93" s="27" t="s">
        <v>8</v>
      </c>
    </row>
    <row r="94" spans="1:4" ht="15.75" customHeight="1" x14ac:dyDescent="0.2">
      <c r="A94" s="24">
        <v>35</v>
      </c>
      <c r="B94" s="25">
        <v>7.37</v>
      </c>
      <c r="C94" s="26">
        <v>57.9</v>
      </c>
      <c r="D94" s="24" t="s">
        <v>8</v>
      </c>
    </row>
    <row r="95" spans="1:4" ht="15.75" customHeight="1" x14ac:dyDescent="0.2">
      <c r="A95" s="27">
        <v>6</v>
      </c>
      <c r="B95" s="28">
        <v>7.52</v>
      </c>
      <c r="C95" s="29">
        <v>63.74</v>
      </c>
      <c r="D95" s="27" t="s">
        <v>8</v>
      </c>
    </row>
    <row r="96" spans="1:4" ht="15.75" customHeight="1" x14ac:dyDescent="0.2">
      <c r="A96" s="24">
        <v>24</v>
      </c>
      <c r="B96" s="25">
        <v>4.66</v>
      </c>
      <c r="C96" s="26">
        <v>38.69</v>
      </c>
      <c r="D96" s="24" t="s">
        <v>8</v>
      </c>
    </row>
    <row r="97" spans="1:4" ht="15.75" customHeight="1" x14ac:dyDescent="0.2">
      <c r="A97" s="27">
        <v>34</v>
      </c>
      <c r="B97" s="28">
        <v>8.64</v>
      </c>
      <c r="C97" s="29">
        <v>65.87</v>
      </c>
      <c r="D97" s="27" t="s">
        <v>8</v>
      </c>
    </row>
    <row r="98" spans="1:4" ht="15.75" customHeight="1" x14ac:dyDescent="0.2">
      <c r="A98" s="24">
        <v>26</v>
      </c>
      <c r="B98" s="25">
        <v>7.31</v>
      </c>
      <c r="C98" s="26">
        <v>62.13</v>
      </c>
      <c r="D98" s="24" t="s">
        <v>8</v>
      </c>
    </row>
    <row r="99" spans="1:4" ht="15.75" customHeight="1" x14ac:dyDescent="0.2">
      <c r="A99" s="27">
        <v>34</v>
      </c>
      <c r="B99" s="28">
        <v>5.38</v>
      </c>
      <c r="C99" s="29">
        <v>50.46</v>
      </c>
      <c r="D99" s="27" t="s">
        <v>8</v>
      </c>
    </row>
    <row r="100" spans="1:4" ht="15.75" customHeight="1" x14ac:dyDescent="0.2">
      <c r="A100" s="24">
        <v>18</v>
      </c>
      <c r="B100" s="25">
        <v>8.1</v>
      </c>
      <c r="C100" s="26">
        <v>77.16</v>
      </c>
      <c r="D100" s="24" t="s">
        <v>8</v>
      </c>
    </row>
    <row r="101" spans="1:4" ht="15.75" customHeight="1" x14ac:dyDescent="0.2">
      <c r="A101" s="27">
        <v>18</v>
      </c>
      <c r="B101" s="28">
        <v>6.06</v>
      </c>
      <c r="C101" s="29">
        <v>52.84</v>
      </c>
      <c r="D101" s="27" t="s">
        <v>8</v>
      </c>
    </row>
    <row r="102" spans="1:4" ht="15.75" customHeight="1" x14ac:dyDescent="0.2">
      <c r="A102" s="24">
        <v>22</v>
      </c>
      <c r="B102" s="25">
        <v>9.8699999999999992</v>
      </c>
      <c r="C102" s="26">
        <v>84.28</v>
      </c>
      <c r="D102" s="24" t="s">
        <v>8</v>
      </c>
    </row>
    <row r="103" spans="1:4" ht="15.75" customHeight="1" x14ac:dyDescent="0.2">
      <c r="A103" s="27">
        <v>27</v>
      </c>
      <c r="B103" s="28">
        <v>4.7</v>
      </c>
      <c r="C103" s="29">
        <v>44.37</v>
      </c>
      <c r="D103" s="27" t="s">
        <v>8</v>
      </c>
    </row>
    <row r="104" spans="1:4" ht="15.75" customHeight="1" x14ac:dyDescent="0.2">
      <c r="A104" s="24">
        <v>31</v>
      </c>
      <c r="B104" s="25">
        <v>5.87</v>
      </c>
      <c r="C104" s="26">
        <v>57.43</v>
      </c>
      <c r="D104" s="24" t="s">
        <v>8</v>
      </c>
    </row>
    <row r="105" spans="1:4" ht="15.75" customHeight="1" x14ac:dyDescent="0.2">
      <c r="A105" s="27">
        <v>27</v>
      </c>
      <c r="B105" s="28">
        <v>4.84</v>
      </c>
      <c r="C105" s="29">
        <v>45.31</v>
      </c>
      <c r="D105" s="27" t="s">
        <v>8</v>
      </c>
    </row>
    <row r="106" spans="1:4" ht="15.75" customHeight="1" x14ac:dyDescent="0.2">
      <c r="A106" s="24">
        <v>26</v>
      </c>
      <c r="B106" s="25">
        <v>8.6300000000000008</v>
      </c>
      <c r="C106" s="26">
        <v>68.959999999999994</v>
      </c>
      <c r="D106" s="24" t="s">
        <v>8</v>
      </c>
    </row>
    <row r="107" spans="1:4" ht="15.75" customHeight="1" x14ac:dyDescent="0.2">
      <c r="A107" s="27">
        <v>34</v>
      </c>
      <c r="B107" s="28">
        <v>9.94</v>
      </c>
      <c r="C107" s="29">
        <v>81.680000000000007</v>
      </c>
      <c r="D107" s="27" t="s">
        <v>8</v>
      </c>
    </row>
    <row r="108" spans="1:4" ht="15.75" customHeight="1" x14ac:dyDescent="0.2">
      <c r="A108" s="24">
        <v>18</v>
      </c>
      <c r="B108" s="25">
        <v>9.99</v>
      </c>
      <c r="C108" s="26">
        <v>75.739999999999995</v>
      </c>
      <c r="D108" s="24" t="s">
        <v>8</v>
      </c>
    </row>
    <row r="109" spans="1:4" ht="15.75" customHeight="1" x14ac:dyDescent="0.2">
      <c r="A109" s="27">
        <v>1</v>
      </c>
      <c r="B109" s="28">
        <v>5.45</v>
      </c>
      <c r="C109" s="29">
        <v>52.45</v>
      </c>
      <c r="D109" s="27" t="s">
        <v>8</v>
      </c>
    </row>
    <row r="110" spans="1:4" ht="15.75" customHeight="1" x14ac:dyDescent="0.2">
      <c r="A110" s="24">
        <v>22</v>
      </c>
      <c r="B110" s="25">
        <v>8.7200000000000006</v>
      </c>
      <c r="C110" s="26">
        <v>68.069999999999993</v>
      </c>
      <c r="D110" s="24" t="s">
        <v>8</v>
      </c>
    </row>
    <row r="111" spans="1:4" ht="15.75" customHeight="1" x14ac:dyDescent="0.2">
      <c r="A111" s="27">
        <v>2</v>
      </c>
      <c r="B111" s="28">
        <v>4.6399999999999997</v>
      </c>
      <c r="C111" s="29">
        <v>51.67</v>
      </c>
      <c r="D111" s="27" t="s">
        <v>8</v>
      </c>
    </row>
    <row r="112" spans="1:4" ht="15.75" customHeight="1" x14ac:dyDescent="0.2">
      <c r="A112" s="24">
        <v>18</v>
      </c>
      <c r="B112" s="25">
        <v>5.66</v>
      </c>
      <c r="C112" s="26">
        <v>48.8</v>
      </c>
      <c r="D112" s="24" t="s">
        <v>8</v>
      </c>
    </row>
    <row r="113" spans="1:4" ht="15.75" customHeight="1" x14ac:dyDescent="0.2">
      <c r="A113" s="27">
        <v>36</v>
      </c>
      <c r="B113" s="28">
        <v>9.0299999999999994</v>
      </c>
      <c r="C113" s="29">
        <v>77.069999999999993</v>
      </c>
      <c r="D113" s="27" t="s">
        <v>8</v>
      </c>
    </row>
    <row r="114" spans="1:4" ht="15.75" customHeight="1" x14ac:dyDescent="0.2">
      <c r="A114" s="24">
        <v>20</v>
      </c>
      <c r="B114" s="25">
        <v>5.93</v>
      </c>
      <c r="C114" s="26">
        <v>53.41</v>
      </c>
      <c r="D114" s="24" t="s">
        <v>8</v>
      </c>
    </row>
    <row r="115" spans="1:4" ht="15.75" customHeight="1" x14ac:dyDescent="0.2">
      <c r="A115" s="27">
        <v>20</v>
      </c>
      <c r="B115" s="28">
        <v>9.0299999999999994</v>
      </c>
      <c r="C115" s="29">
        <v>68.260000000000005</v>
      </c>
      <c r="D115" s="27" t="s">
        <v>8</v>
      </c>
    </row>
    <row r="116" spans="1:4" ht="15.75" customHeight="1" x14ac:dyDescent="0.2">
      <c r="A116" s="24">
        <v>48</v>
      </c>
      <c r="B116" s="25">
        <v>9.58</v>
      </c>
      <c r="C116" s="26">
        <v>77.38</v>
      </c>
      <c r="D116" s="24" t="s">
        <v>8</v>
      </c>
    </row>
    <row r="117" spans="1:4" ht="15.75" customHeight="1" x14ac:dyDescent="0.2">
      <c r="A117" s="27">
        <v>27</v>
      </c>
      <c r="B117" s="28">
        <v>6.96</v>
      </c>
      <c r="C117" s="29">
        <v>65.400000000000006</v>
      </c>
      <c r="D117" s="27" t="s">
        <v>8</v>
      </c>
    </row>
    <row r="118" spans="1:4" ht="15.75" customHeight="1" x14ac:dyDescent="0.2">
      <c r="A118" s="24">
        <v>36</v>
      </c>
      <c r="B118" s="25">
        <v>8.49</v>
      </c>
      <c r="C118" s="26">
        <v>62.51</v>
      </c>
      <c r="D118" s="24" t="s">
        <v>8</v>
      </c>
    </row>
    <row r="119" spans="1:4" ht="15.75" customHeight="1" x14ac:dyDescent="0.2">
      <c r="A119" s="27">
        <v>13</v>
      </c>
      <c r="B119" s="28">
        <v>7.11</v>
      </c>
      <c r="C119" s="29">
        <v>55.07</v>
      </c>
      <c r="D119" s="27" t="s">
        <v>8</v>
      </c>
    </row>
    <row r="120" spans="1:4" ht="15.75" customHeight="1" x14ac:dyDescent="0.2">
      <c r="A120" s="24">
        <v>9</v>
      </c>
      <c r="B120" s="25">
        <v>5.67</v>
      </c>
      <c r="C120" s="26">
        <v>50.27</v>
      </c>
      <c r="D120" s="24" t="s">
        <v>8</v>
      </c>
    </row>
    <row r="121" spans="1:4" ht="15.75" customHeight="1" x14ac:dyDescent="0.2">
      <c r="A121" s="27">
        <v>16</v>
      </c>
      <c r="B121" s="28">
        <v>4.34</v>
      </c>
      <c r="C121" s="29">
        <v>35.799999999999997</v>
      </c>
      <c r="D121" s="27" t="s">
        <v>8</v>
      </c>
    </row>
    <row r="122" spans="1:4" ht="15.75" customHeight="1" x14ac:dyDescent="0.2">
      <c r="A122" s="24">
        <v>30</v>
      </c>
      <c r="B122" s="25">
        <v>6.72</v>
      </c>
      <c r="C122" s="26">
        <v>64.55</v>
      </c>
      <c r="D122" s="24" t="s">
        <v>8</v>
      </c>
    </row>
    <row r="123" spans="1:4" ht="15.75" customHeight="1" x14ac:dyDescent="0.2">
      <c r="A123" s="27">
        <v>30</v>
      </c>
      <c r="B123" s="28">
        <v>9.18</v>
      </c>
      <c r="C123" s="29">
        <v>73.87</v>
      </c>
      <c r="D123" s="27" t="s">
        <v>8</v>
      </c>
    </row>
    <row r="124" spans="1:4" ht="15.75" customHeight="1" x14ac:dyDescent="0.2">
      <c r="A124" s="24">
        <v>54</v>
      </c>
      <c r="B124" s="25">
        <v>4.32</v>
      </c>
      <c r="C124" s="26">
        <v>41.82</v>
      </c>
      <c r="D124" s="24" t="s">
        <v>8</v>
      </c>
    </row>
    <row r="125" spans="1:4" ht="15.75" customHeight="1" x14ac:dyDescent="0.2">
      <c r="A125" s="27">
        <v>38</v>
      </c>
      <c r="B125" s="28">
        <v>4.28</v>
      </c>
      <c r="C125" s="29">
        <v>43.18</v>
      </c>
      <c r="D125" s="27" t="s">
        <v>8</v>
      </c>
    </row>
    <row r="126" spans="1:4" ht="15.75" customHeight="1" x14ac:dyDescent="0.2">
      <c r="A126" s="24">
        <v>19</v>
      </c>
      <c r="B126" s="25">
        <v>5.0999999999999996</v>
      </c>
      <c r="C126" s="26">
        <v>47.22</v>
      </c>
      <c r="D126" s="24" t="s">
        <v>8</v>
      </c>
    </row>
    <row r="127" spans="1:4" ht="15.75" customHeight="1" x14ac:dyDescent="0.2">
      <c r="A127" s="27">
        <v>26</v>
      </c>
      <c r="B127" s="28">
        <v>6.23</v>
      </c>
      <c r="C127" s="29">
        <v>53.91</v>
      </c>
      <c r="D127" s="27" t="s">
        <v>8</v>
      </c>
    </row>
    <row r="128" spans="1:4" ht="15.75" customHeight="1" x14ac:dyDescent="0.2">
      <c r="A128" s="24">
        <v>30</v>
      </c>
      <c r="B128" s="25">
        <v>6.45</v>
      </c>
      <c r="C128" s="26">
        <v>59.74</v>
      </c>
      <c r="D128" s="24" t="s">
        <v>8</v>
      </c>
    </row>
    <row r="129" spans="1:4" ht="15.75" customHeight="1" x14ac:dyDescent="0.2">
      <c r="A129" s="27">
        <v>31</v>
      </c>
      <c r="B129" s="28">
        <v>9.73</v>
      </c>
      <c r="C129" s="29">
        <v>74.14</v>
      </c>
      <c r="D129" s="27" t="s">
        <v>8</v>
      </c>
    </row>
    <row r="130" spans="1:4" ht="15.75" customHeight="1" x14ac:dyDescent="0.2">
      <c r="A130" s="24">
        <v>52</v>
      </c>
      <c r="B130" s="25">
        <v>4.1399999999999997</v>
      </c>
      <c r="C130" s="26">
        <v>36.58</v>
      </c>
      <c r="D130" s="24" t="s">
        <v>9</v>
      </c>
    </row>
    <row r="131" spans="1:4" ht="15.75" customHeight="1" x14ac:dyDescent="0.2">
      <c r="A131" s="27">
        <v>24</v>
      </c>
      <c r="B131" s="28">
        <v>9.2799999999999994</v>
      </c>
      <c r="C131" s="29">
        <v>76.55</v>
      </c>
      <c r="D131" s="27" t="s">
        <v>8</v>
      </c>
    </row>
    <row r="132" spans="1:4" ht="15.75" customHeight="1" x14ac:dyDescent="0.2">
      <c r="A132" s="24">
        <v>10</v>
      </c>
      <c r="B132" s="25">
        <v>6.76</v>
      </c>
      <c r="C132" s="26">
        <v>37.07</v>
      </c>
      <c r="D132" s="24" t="s">
        <v>8</v>
      </c>
    </row>
    <row r="133" spans="1:4" ht="15.75" customHeight="1" x14ac:dyDescent="0.2">
      <c r="A133" s="27">
        <v>25</v>
      </c>
      <c r="B133" s="28">
        <v>6.16</v>
      </c>
      <c r="C133" s="29">
        <v>71.33</v>
      </c>
      <c r="D133" s="27" t="s">
        <v>8</v>
      </c>
    </row>
    <row r="134" spans="1:4" ht="15.75" customHeight="1" x14ac:dyDescent="0.2">
      <c r="A134" s="24">
        <v>38</v>
      </c>
      <c r="B134" s="25">
        <v>8.2200000000000006</v>
      </c>
      <c r="C134" s="26">
        <v>80.31</v>
      </c>
      <c r="D134" s="24" t="s">
        <v>8</v>
      </c>
    </row>
    <row r="135" spans="1:4" ht="15.75" customHeight="1" x14ac:dyDescent="0.2">
      <c r="A135" s="27">
        <v>13</v>
      </c>
      <c r="B135" s="28">
        <v>6.16</v>
      </c>
      <c r="C135" s="29">
        <v>70.489999999999995</v>
      </c>
      <c r="D135" s="27" t="s">
        <v>8</v>
      </c>
    </row>
    <row r="136" spans="1:4" ht="15.75" customHeight="1" x14ac:dyDescent="0.2">
      <c r="A136" s="24">
        <v>31</v>
      </c>
      <c r="B136" s="25">
        <v>7.22</v>
      </c>
      <c r="C136" s="26">
        <v>28.75</v>
      </c>
      <c r="D136" s="24" t="s">
        <v>8</v>
      </c>
    </row>
    <row r="137" spans="1:4" ht="15.75" customHeight="1" x14ac:dyDescent="0.2">
      <c r="A137" s="27">
        <v>37</v>
      </c>
      <c r="B137" s="28">
        <v>8.6</v>
      </c>
      <c r="C137" s="29">
        <v>43.95</v>
      </c>
      <c r="D137" s="27" t="s">
        <v>8</v>
      </c>
    </row>
    <row r="138" spans="1:4" ht="15.75" customHeight="1" x14ac:dyDescent="0.2">
      <c r="A138" s="24">
        <v>14</v>
      </c>
      <c r="B138" s="25">
        <v>7.95</v>
      </c>
      <c r="C138" s="26">
        <v>85.03</v>
      </c>
      <c r="D138" s="24" t="s">
        <v>8</v>
      </c>
    </row>
    <row r="139" spans="1:4" ht="15.75" customHeight="1" x14ac:dyDescent="0.2">
      <c r="A139" s="27">
        <v>7</v>
      </c>
      <c r="B139" s="28">
        <v>4.4400000000000004</v>
      </c>
      <c r="C139" s="29">
        <v>76.47</v>
      </c>
      <c r="D139" s="27" t="s">
        <v>8</v>
      </c>
    </row>
    <row r="140" spans="1:4" ht="15.75" customHeight="1" x14ac:dyDescent="0.2">
      <c r="A140" s="24">
        <v>10</v>
      </c>
      <c r="B140" s="25">
        <v>9.75</v>
      </c>
      <c r="C140" s="26">
        <v>51.12</v>
      </c>
      <c r="D140" s="24" t="s">
        <v>8</v>
      </c>
    </row>
    <row r="141" spans="1:4" ht="15.75" customHeight="1" x14ac:dyDescent="0.2">
      <c r="A141" s="27">
        <v>12</v>
      </c>
      <c r="B141" s="28">
        <v>9.07</v>
      </c>
      <c r="C141" s="29">
        <v>68.02</v>
      </c>
      <c r="D141" s="27" t="s">
        <v>8</v>
      </c>
    </row>
    <row r="142" spans="1:4" ht="15.75" customHeight="1" x14ac:dyDescent="0.2">
      <c r="A142" s="24">
        <v>34</v>
      </c>
      <c r="B142" s="25">
        <v>4.93</v>
      </c>
      <c r="C142" s="26">
        <v>65.16</v>
      </c>
      <c r="D142" s="24" t="s">
        <v>8</v>
      </c>
    </row>
    <row r="143" spans="1:4" ht="15.75" customHeight="1" x14ac:dyDescent="0.2">
      <c r="A143" s="27">
        <v>26</v>
      </c>
      <c r="B143" s="28">
        <v>4.76</v>
      </c>
      <c r="C143" s="29">
        <v>58</v>
      </c>
      <c r="D143" s="27" t="s">
        <v>8</v>
      </c>
    </row>
    <row r="144" spans="1:4" ht="15.75" customHeight="1" x14ac:dyDescent="0.2">
      <c r="A144" s="24">
        <v>29</v>
      </c>
      <c r="B144" s="25">
        <v>5.96</v>
      </c>
      <c r="C144" s="26">
        <v>55.1</v>
      </c>
      <c r="D144" s="24" t="s">
        <v>8</v>
      </c>
    </row>
    <row r="145" spans="1:4" ht="15.75" customHeight="1" x14ac:dyDescent="0.2">
      <c r="A145" s="27">
        <v>23</v>
      </c>
      <c r="B145" s="28">
        <v>4.54</v>
      </c>
      <c r="C145" s="29">
        <v>21.1</v>
      </c>
      <c r="D145" s="27" t="s">
        <v>8</v>
      </c>
    </row>
    <row r="146" spans="1:4" ht="15.75" customHeight="1" x14ac:dyDescent="0.2">
      <c r="A146" s="24">
        <v>34</v>
      </c>
      <c r="B146" s="25">
        <v>6.12</v>
      </c>
      <c r="C146" s="26">
        <v>49.54</v>
      </c>
      <c r="D146" s="24" t="s">
        <v>8</v>
      </c>
    </row>
    <row r="147" spans="1:4" ht="15.75" customHeight="1" x14ac:dyDescent="0.2">
      <c r="A147" s="27">
        <v>17</v>
      </c>
      <c r="B147" s="28">
        <v>5.35</v>
      </c>
      <c r="C147" s="29">
        <v>40.880000000000003</v>
      </c>
      <c r="D147" s="27" t="s">
        <v>8</v>
      </c>
    </row>
    <row r="148" spans="1:4" ht="15.75" customHeight="1" x14ac:dyDescent="0.2">
      <c r="A148" s="24">
        <v>38</v>
      </c>
      <c r="B148" s="25">
        <v>8.39</v>
      </c>
      <c r="C148" s="26">
        <v>27.64</v>
      </c>
      <c r="D148" s="24" t="s">
        <v>8</v>
      </c>
    </row>
    <row r="149" spans="1:4" ht="15.75" customHeight="1" x14ac:dyDescent="0.2">
      <c r="A149" s="27">
        <v>36</v>
      </c>
      <c r="B149" s="28">
        <v>9.35</v>
      </c>
      <c r="C149" s="29">
        <v>96.31</v>
      </c>
      <c r="D149" s="27" t="s">
        <v>8</v>
      </c>
    </row>
    <row r="150" spans="1:4" ht="15.75" customHeight="1" x14ac:dyDescent="0.2">
      <c r="A150" s="24">
        <v>24</v>
      </c>
      <c r="B150" s="25">
        <v>5.0599999999999996</v>
      </c>
      <c r="C150" s="26">
        <v>96.03</v>
      </c>
      <c r="D150" s="24" t="s">
        <v>8</v>
      </c>
    </row>
    <row r="151" spans="1:4" ht="15.75" customHeight="1" x14ac:dyDescent="0.2">
      <c r="A151" s="27">
        <v>14</v>
      </c>
      <c r="B151" s="28">
        <v>7.18</v>
      </c>
      <c r="C151" s="29">
        <v>77.290000000000006</v>
      </c>
      <c r="D151" s="27" t="s">
        <v>8</v>
      </c>
    </row>
    <row r="152" spans="1:4" ht="15.75" customHeight="1" x14ac:dyDescent="0.2">
      <c r="A152" s="24">
        <v>46</v>
      </c>
      <c r="B152" s="25">
        <v>7.22</v>
      </c>
      <c r="C152" s="26">
        <v>61.92</v>
      </c>
      <c r="D152" s="24" t="s">
        <v>8</v>
      </c>
    </row>
    <row r="153" spans="1:4" ht="15.75" customHeight="1" x14ac:dyDescent="0.2">
      <c r="A153" s="27">
        <v>43</v>
      </c>
      <c r="B153" s="28">
        <v>9.27</v>
      </c>
      <c r="C153" s="29">
        <v>63.57</v>
      </c>
      <c r="D153" s="27" t="s">
        <v>8</v>
      </c>
    </row>
    <row r="154" spans="1:4" ht="15.75" customHeight="1" x14ac:dyDescent="0.2">
      <c r="A154" s="24">
        <v>44</v>
      </c>
      <c r="B154" s="25">
        <v>9.9600000000000009</v>
      </c>
      <c r="C154" s="26">
        <v>78.3</v>
      </c>
      <c r="D154" s="24" t="s">
        <v>8</v>
      </c>
    </row>
    <row r="155" spans="1:4" ht="15.75" customHeight="1" x14ac:dyDescent="0.2">
      <c r="A155" s="27">
        <v>43</v>
      </c>
      <c r="B155" s="28">
        <v>4.68</v>
      </c>
      <c r="C155" s="29">
        <v>50.07</v>
      </c>
      <c r="D155" s="27" t="s">
        <v>8</v>
      </c>
    </row>
    <row r="156" spans="1:4" ht="15.75" customHeight="1" x14ac:dyDescent="0.2">
      <c r="A156" s="24">
        <v>34</v>
      </c>
      <c r="B156" s="25">
        <v>5.15</v>
      </c>
      <c r="C156" s="26">
        <v>51.35</v>
      </c>
      <c r="D156" s="24" t="s">
        <v>8</v>
      </c>
    </row>
    <row r="157" spans="1:4" ht="15.75" customHeight="1" x14ac:dyDescent="0.2">
      <c r="A157" s="27">
        <v>16</v>
      </c>
      <c r="B157" s="28">
        <v>9.65</v>
      </c>
      <c r="C157" s="29">
        <v>53.41</v>
      </c>
      <c r="D157" s="27" t="s">
        <v>8</v>
      </c>
    </row>
    <row r="158" spans="1:4" ht="15.75" customHeight="1" x14ac:dyDescent="0.2">
      <c r="A158" s="24">
        <v>30</v>
      </c>
      <c r="B158" s="25">
        <v>8.61</v>
      </c>
      <c r="C158" s="26">
        <v>52.91</v>
      </c>
      <c r="D158" s="24" t="s">
        <v>8</v>
      </c>
    </row>
    <row r="159" spans="1:4" ht="15.75" customHeight="1" x14ac:dyDescent="0.2">
      <c r="A159" s="27">
        <v>26</v>
      </c>
      <c r="B159" s="28">
        <v>6.21</v>
      </c>
      <c r="C159" s="29">
        <v>65.28</v>
      </c>
      <c r="D159" s="27" t="s">
        <v>8</v>
      </c>
    </row>
    <row r="160" spans="1:4" ht="15.75" customHeight="1" x14ac:dyDescent="0.2">
      <c r="A160" s="24">
        <v>35</v>
      </c>
      <c r="B160" s="25">
        <v>8.3800000000000008</v>
      </c>
      <c r="C160" s="26">
        <v>100.78</v>
      </c>
      <c r="D160" s="24" t="s">
        <v>8</v>
      </c>
    </row>
    <row r="161" spans="1:4" ht="15.75" customHeight="1" x14ac:dyDescent="0.2">
      <c r="A161" s="27">
        <v>51</v>
      </c>
      <c r="B161" s="28">
        <v>6.86</v>
      </c>
      <c r="C161" s="29">
        <v>74.760000000000005</v>
      </c>
      <c r="D161" s="27" t="s">
        <v>8</v>
      </c>
    </row>
    <row r="162" spans="1:4" ht="15.75" customHeight="1" x14ac:dyDescent="0.2">
      <c r="A162" s="24">
        <v>27</v>
      </c>
      <c r="B162" s="25">
        <v>7.7</v>
      </c>
      <c r="C162" s="26">
        <v>53.96</v>
      </c>
      <c r="D162" s="24" t="s">
        <v>8</v>
      </c>
    </row>
    <row r="163" spans="1:4" ht="15.75" customHeight="1" x14ac:dyDescent="0.2">
      <c r="A163" s="27">
        <v>39</v>
      </c>
      <c r="B163" s="28">
        <v>8.02</v>
      </c>
      <c r="C163" s="29">
        <v>62.53</v>
      </c>
      <c r="D163" s="27" t="s">
        <v>8</v>
      </c>
    </row>
    <row r="164" spans="1:4" ht="15.75" customHeight="1" x14ac:dyDescent="0.2">
      <c r="A164" s="24">
        <v>26</v>
      </c>
      <c r="B164" s="25">
        <v>9.2100000000000009</v>
      </c>
      <c r="C164" s="26">
        <v>83.15</v>
      </c>
      <c r="D164" s="24" t="s">
        <v>8</v>
      </c>
    </row>
    <row r="165" spans="1:4" ht="15.75" customHeight="1" x14ac:dyDescent="0.2">
      <c r="A165" s="27">
        <v>13</v>
      </c>
      <c r="B165" s="28">
        <v>8.24</v>
      </c>
      <c r="C165" s="29">
        <v>76.959999999999994</v>
      </c>
      <c r="D165" s="27" t="s">
        <v>8</v>
      </c>
    </row>
    <row r="166" spans="1:4" ht="15.75" customHeight="1" x14ac:dyDescent="0.2">
      <c r="A166" s="24">
        <v>27</v>
      </c>
      <c r="B166" s="25">
        <v>6.63</v>
      </c>
      <c r="C166" s="26">
        <v>54.57</v>
      </c>
      <c r="D166" s="24" t="s">
        <v>8</v>
      </c>
    </row>
    <row r="167" spans="1:4" ht="15.75" customHeight="1" x14ac:dyDescent="0.2">
      <c r="A167" s="27">
        <v>16</v>
      </c>
      <c r="B167" s="28">
        <v>8.2899999999999991</v>
      </c>
      <c r="C167" s="29">
        <v>115.29</v>
      </c>
      <c r="D167" s="27" t="s">
        <v>8</v>
      </c>
    </row>
    <row r="168" spans="1:4" ht="15.75" customHeight="1" x14ac:dyDescent="0.2">
      <c r="A168" s="24">
        <v>23</v>
      </c>
      <c r="B168" s="25">
        <v>8.65</v>
      </c>
      <c r="C168" s="26">
        <v>88.43</v>
      </c>
      <c r="D168" s="24" t="s">
        <v>8</v>
      </c>
    </row>
    <row r="169" spans="1:4" ht="15.75" customHeight="1" x14ac:dyDescent="0.2">
      <c r="A169" s="27">
        <v>47</v>
      </c>
      <c r="B169" s="28">
        <v>9.2100000000000009</v>
      </c>
      <c r="C169" s="29">
        <v>62.31</v>
      </c>
      <c r="D169" s="27" t="s">
        <v>8</v>
      </c>
    </row>
    <row r="170" spans="1:4" ht="15.75" customHeight="1" x14ac:dyDescent="0.2">
      <c r="A170" s="24">
        <v>17</v>
      </c>
      <c r="B170" s="25">
        <v>9.0500000000000007</v>
      </c>
      <c r="C170" s="26">
        <v>29.32</v>
      </c>
      <c r="D170" s="24" t="s">
        <v>8</v>
      </c>
    </row>
    <row r="171" spans="1:4" ht="15.75" customHeight="1" x14ac:dyDescent="0.2">
      <c r="A171" s="27">
        <v>3</v>
      </c>
      <c r="B171" s="28">
        <v>7.71</v>
      </c>
      <c r="C171" s="29">
        <v>67.36</v>
      </c>
      <c r="D171" s="27" t="s">
        <v>8</v>
      </c>
    </row>
    <row r="172" spans="1:4" ht="15.75" customHeight="1" x14ac:dyDescent="0.2">
      <c r="A172" s="24">
        <v>38</v>
      </c>
      <c r="B172" s="25">
        <v>8.75</v>
      </c>
      <c r="C172" s="26">
        <v>88.53</v>
      </c>
      <c r="D172" s="24" t="s">
        <v>8</v>
      </c>
    </row>
    <row r="173" spans="1:4" ht="15.75" customHeight="1" x14ac:dyDescent="0.2">
      <c r="A173" s="27">
        <v>28</v>
      </c>
      <c r="B173" s="28">
        <v>7.97</v>
      </c>
      <c r="C173" s="29">
        <v>52.97</v>
      </c>
      <c r="D173" s="27" t="s">
        <v>8</v>
      </c>
    </row>
    <row r="174" spans="1:4" ht="15.75" customHeight="1" x14ac:dyDescent="0.2">
      <c r="A174" s="24">
        <v>47</v>
      </c>
      <c r="B174" s="25">
        <v>7.59</v>
      </c>
      <c r="C174" s="26">
        <v>83.57</v>
      </c>
      <c r="D174" s="24" t="s">
        <v>8</v>
      </c>
    </row>
    <row r="175" spans="1:4" ht="15.75" customHeight="1" x14ac:dyDescent="0.2">
      <c r="A175" s="27">
        <v>23</v>
      </c>
      <c r="B175" s="28">
        <v>8.18</v>
      </c>
      <c r="C175" s="29">
        <v>92.48</v>
      </c>
      <c r="D175" s="27" t="s">
        <v>8</v>
      </c>
    </row>
    <row r="176" spans="1:4" ht="15.75" customHeight="1" x14ac:dyDescent="0.2">
      <c r="A176" s="24">
        <v>27</v>
      </c>
      <c r="B176" s="25">
        <v>9.25</v>
      </c>
      <c r="C176" s="26">
        <v>66.709999999999994</v>
      </c>
      <c r="D176" s="24" t="s">
        <v>8</v>
      </c>
    </row>
    <row r="177" spans="1:4" ht="15.75" customHeight="1" x14ac:dyDescent="0.2">
      <c r="A177" s="27">
        <v>30</v>
      </c>
      <c r="B177" s="28">
        <v>4.54</v>
      </c>
      <c r="C177" s="29">
        <v>42.01</v>
      </c>
      <c r="D177" s="27" t="s">
        <v>8</v>
      </c>
    </row>
    <row r="178" spans="1:4" ht="15.75" customHeight="1" x14ac:dyDescent="0.2">
      <c r="A178" s="24">
        <v>35</v>
      </c>
      <c r="B178" s="25">
        <v>4.68</v>
      </c>
      <c r="C178" s="26">
        <v>49.81</v>
      </c>
      <c r="D178" s="24" t="s">
        <v>8</v>
      </c>
    </row>
    <row r="179" spans="1:4" ht="15.75" customHeight="1" x14ac:dyDescent="0.2">
      <c r="A179" s="27">
        <v>25</v>
      </c>
      <c r="B179" s="28">
        <v>8.39</v>
      </c>
      <c r="C179" s="29">
        <v>56.55</v>
      </c>
      <c r="D179" s="27" t="s">
        <v>8</v>
      </c>
    </row>
    <row r="180" spans="1:4" ht="15.75" customHeight="1" x14ac:dyDescent="0.2">
      <c r="A180" s="24">
        <v>34</v>
      </c>
      <c r="B180" s="25">
        <v>4.03</v>
      </c>
      <c r="C180" s="26">
        <v>44.21</v>
      </c>
      <c r="D180" s="24" t="s">
        <v>8</v>
      </c>
    </row>
    <row r="181" spans="1:4" ht="15.75" customHeight="1" x14ac:dyDescent="0.2">
      <c r="A181" s="27">
        <v>9</v>
      </c>
      <c r="B181" s="28">
        <v>9.9600000000000009</v>
      </c>
      <c r="C181" s="29">
        <v>50.61</v>
      </c>
      <c r="D181" s="27" t="s">
        <v>8</v>
      </c>
    </row>
    <row r="182" spans="1:4" ht="15.75" customHeight="1" x14ac:dyDescent="0.2">
      <c r="A182" s="24">
        <v>30</v>
      </c>
      <c r="B182" s="25">
        <v>4.1500000000000004</v>
      </c>
      <c r="C182" s="26">
        <v>60.58</v>
      </c>
      <c r="D182" s="24" t="s">
        <v>8</v>
      </c>
    </row>
    <row r="183" spans="1:4" ht="15.75" customHeight="1" x14ac:dyDescent="0.2">
      <c r="A183" s="27">
        <v>54</v>
      </c>
      <c r="B183" s="28">
        <v>7.58</v>
      </c>
      <c r="C183" s="29">
        <v>44.09</v>
      </c>
      <c r="D183" s="27" t="s">
        <v>8</v>
      </c>
    </row>
    <row r="184" spans="1:4" ht="15.75" customHeight="1" x14ac:dyDescent="0.2">
      <c r="A184" s="24">
        <v>18</v>
      </c>
      <c r="B184" s="25">
        <v>7.54</v>
      </c>
      <c r="C184" s="26">
        <v>75.03</v>
      </c>
      <c r="D184" s="24" t="s">
        <v>8</v>
      </c>
    </row>
    <row r="185" spans="1:4" ht="15.75" customHeight="1" x14ac:dyDescent="0.2">
      <c r="A185" s="27">
        <v>51</v>
      </c>
      <c r="B185" s="28">
        <v>5.25</v>
      </c>
      <c r="C185" s="29">
        <v>44.82</v>
      </c>
      <c r="D185" s="27" t="s">
        <v>8</v>
      </c>
    </row>
    <row r="186" spans="1:4" ht="15.75" customHeight="1" x14ac:dyDescent="0.2">
      <c r="A186" s="24">
        <v>38</v>
      </c>
      <c r="B186" s="25">
        <v>7.21</v>
      </c>
      <c r="C186" s="26">
        <v>86.23</v>
      </c>
      <c r="D186" s="24" t="s">
        <v>8</v>
      </c>
    </row>
    <row r="187" spans="1:4" ht="15.75" customHeight="1" x14ac:dyDescent="0.2">
      <c r="A187" s="27">
        <v>4</v>
      </c>
      <c r="B187" s="28">
        <v>9.42</v>
      </c>
      <c r="C187" s="29">
        <v>75.459999999999994</v>
      </c>
      <c r="D187" s="27" t="s">
        <v>8</v>
      </c>
    </row>
    <row r="188" spans="1:4" ht="15.75" customHeight="1" x14ac:dyDescent="0.2">
      <c r="A188" s="24">
        <v>23</v>
      </c>
      <c r="B188" s="25">
        <v>6.68</v>
      </c>
      <c r="C188" s="26">
        <v>33.049999999999997</v>
      </c>
      <c r="D188" s="24" t="s">
        <v>8</v>
      </c>
    </row>
    <row r="189" spans="1:4" ht="15.75" customHeight="1" x14ac:dyDescent="0.2">
      <c r="A189" s="27">
        <v>26</v>
      </c>
      <c r="B189" s="28">
        <v>5.78</v>
      </c>
      <c r="C189" s="29">
        <v>87.4</v>
      </c>
      <c r="D189" s="27" t="s">
        <v>8</v>
      </c>
    </row>
    <row r="190" spans="1:4" ht="15.75" customHeight="1" x14ac:dyDescent="0.2">
      <c r="A190" s="24">
        <v>47</v>
      </c>
      <c r="B190" s="25">
        <v>5.23</v>
      </c>
      <c r="C190" s="26">
        <v>40.19</v>
      </c>
      <c r="D190" s="24" t="s">
        <v>8</v>
      </c>
    </row>
    <row r="191" spans="1:4" ht="15.75" customHeight="1" x14ac:dyDescent="0.2">
      <c r="A191" s="27">
        <v>22</v>
      </c>
      <c r="B191" s="28">
        <v>4.38</v>
      </c>
      <c r="C191" s="29">
        <v>43.95</v>
      </c>
      <c r="D191" s="27" t="s">
        <v>8</v>
      </c>
    </row>
    <row r="192" spans="1:4" ht="15.75" customHeight="1" x14ac:dyDescent="0.2">
      <c r="A192" s="24">
        <v>43</v>
      </c>
      <c r="B192" s="25">
        <v>9.01</v>
      </c>
      <c r="C192" s="26">
        <v>61.06</v>
      </c>
      <c r="D192" s="24" t="s">
        <v>8</v>
      </c>
    </row>
    <row r="193" spans="1:4" ht="15.75" customHeight="1" x14ac:dyDescent="0.2">
      <c r="A193" s="27">
        <v>4</v>
      </c>
      <c r="B193" s="28">
        <v>5.12</v>
      </c>
      <c r="C193" s="29">
        <v>63.38</v>
      </c>
      <c r="D193" s="27" t="s">
        <v>8</v>
      </c>
    </row>
    <row r="194" spans="1:4" ht="15.75" customHeight="1" x14ac:dyDescent="0.2">
      <c r="A194" s="24">
        <v>26</v>
      </c>
      <c r="B194" s="25">
        <v>4.18</v>
      </c>
      <c r="C194" s="26">
        <v>8</v>
      </c>
      <c r="D194" s="24" t="s">
        <v>8</v>
      </c>
    </row>
    <row r="195" spans="1:4" ht="15.75" customHeight="1" x14ac:dyDescent="0.2">
      <c r="A195" s="27">
        <v>47</v>
      </c>
      <c r="B195" s="28">
        <v>6.36</v>
      </c>
      <c r="C195" s="29">
        <v>67.44</v>
      </c>
      <c r="D195" s="27" t="s">
        <v>8</v>
      </c>
    </row>
    <row r="196" spans="1:4" ht="15.75" customHeight="1" x14ac:dyDescent="0.2">
      <c r="A196" s="24">
        <v>13</v>
      </c>
      <c r="B196" s="25">
        <v>4.08</v>
      </c>
      <c r="C196" s="26">
        <v>82.05</v>
      </c>
      <c r="D196" s="24" t="s">
        <v>8</v>
      </c>
    </row>
    <row r="197" spans="1:4" ht="15.75" customHeight="1" x14ac:dyDescent="0.2">
      <c r="A197" s="27">
        <v>59</v>
      </c>
      <c r="B197" s="28">
        <v>8.5399999999999991</v>
      </c>
      <c r="C197" s="29">
        <v>42.33</v>
      </c>
      <c r="D197" s="27" t="s">
        <v>8</v>
      </c>
    </row>
    <row r="198" spans="1:4" ht="15.75" customHeight="1" x14ac:dyDescent="0.2">
      <c r="A198" s="24">
        <v>39</v>
      </c>
      <c r="B198" s="25">
        <v>5.38</v>
      </c>
      <c r="C198" s="26">
        <v>46.56</v>
      </c>
      <c r="D198" s="24" t="s">
        <v>8</v>
      </c>
    </row>
    <row r="199" spans="1:4" ht="15.75" customHeight="1" x14ac:dyDescent="0.2">
      <c r="A199" s="27">
        <v>38</v>
      </c>
      <c r="B199" s="28">
        <v>5.5</v>
      </c>
      <c r="C199" s="29">
        <v>42.01</v>
      </c>
      <c r="D199" s="27" t="s">
        <v>8</v>
      </c>
    </row>
    <row r="200" spans="1:4" ht="15.75" customHeight="1" x14ac:dyDescent="0.2">
      <c r="A200" s="24">
        <v>47</v>
      </c>
      <c r="B200" s="25">
        <v>5.03</v>
      </c>
      <c r="C200" s="26">
        <v>31.21</v>
      </c>
      <c r="D200" s="24" t="s">
        <v>8</v>
      </c>
    </row>
    <row r="201" spans="1:4" ht="15.75" customHeight="1" x14ac:dyDescent="0.2">
      <c r="A201" s="27">
        <v>60</v>
      </c>
      <c r="B201" s="28">
        <v>4.6900000000000004</v>
      </c>
      <c r="C201" s="29">
        <v>46.24</v>
      </c>
      <c r="D201" s="27" t="s">
        <v>8</v>
      </c>
    </row>
    <row r="202" spans="1:4" ht="15.75" customHeight="1" x14ac:dyDescent="0.2">
      <c r="A202" s="24">
        <v>23</v>
      </c>
      <c r="B202" s="25">
        <v>4.34</v>
      </c>
      <c r="C202" s="26">
        <v>50.33</v>
      </c>
      <c r="D202" s="24" t="s">
        <v>8</v>
      </c>
    </row>
    <row r="203" spans="1:4" ht="15.75" customHeight="1" x14ac:dyDescent="0.2">
      <c r="A203" s="27">
        <v>3</v>
      </c>
      <c r="B203" s="28">
        <v>8.93</v>
      </c>
      <c r="C203" s="29">
        <v>118.54</v>
      </c>
      <c r="D203" s="27" t="s">
        <v>8</v>
      </c>
    </row>
    <row r="204" spans="1:4" ht="15.75" customHeight="1" x14ac:dyDescent="0.2">
      <c r="A204" s="24">
        <v>7</v>
      </c>
      <c r="B204" s="25">
        <v>7.91</v>
      </c>
      <c r="C204" s="26">
        <v>66.209999999999994</v>
      </c>
      <c r="D204" s="24" t="s">
        <v>8</v>
      </c>
    </row>
    <row r="205" spans="1:4" ht="15.75" customHeight="1" x14ac:dyDescent="0.2">
      <c r="A205" s="27">
        <v>24</v>
      </c>
      <c r="B205" s="28">
        <v>4.67</v>
      </c>
      <c r="C205" s="29">
        <v>57.53</v>
      </c>
      <c r="D205" s="27" t="s">
        <v>8</v>
      </c>
    </row>
    <row r="206" spans="1:4" ht="15.75" customHeight="1" x14ac:dyDescent="0.2">
      <c r="A206" s="24">
        <v>24</v>
      </c>
      <c r="B206" s="25">
        <v>9.91</v>
      </c>
      <c r="C206" s="26">
        <v>62.71</v>
      </c>
      <c r="D206" s="24" t="s">
        <v>8</v>
      </c>
    </row>
    <row r="207" spans="1:4" ht="15.75" customHeight="1" x14ac:dyDescent="0.2">
      <c r="A207" s="27">
        <v>11</v>
      </c>
      <c r="B207" s="28">
        <v>6.33</v>
      </c>
      <c r="C207" s="29">
        <v>50.62</v>
      </c>
      <c r="D207" s="27" t="s">
        <v>8</v>
      </c>
    </row>
    <row r="208" spans="1:4" ht="15.75" customHeight="1" x14ac:dyDescent="0.2">
      <c r="A208" s="24">
        <v>25</v>
      </c>
      <c r="B208" s="25">
        <v>9.67</v>
      </c>
      <c r="C208" s="26">
        <v>93.01</v>
      </c>
      <c r="D208" s="24" t="s">
        <v>8</v>
      </c>
    </row>
    <row r="209" spans="1:4" ht="15.75" customHeight="1" x14ac:dyDescent="0.2">
      <c r="A209" s="27">
        <v>7</v>
      </c>
      <c r="B209" s="28">
        <v>5.36</v>
      </c>
      <c r="C209" s="29">
        <v>66.86</v>
      </c>
      <c r="D209" s="27" t="s">
        <v>8</v>
      </c>
    </row>
    <row r="210" spans="1:4" ht="15.75" customHeight="1" x14ac:dyDescent="0.2">
      <c r="A210" s="24">
        <v>31</v>
      </c>
      <c r="B210" s="25">
        <v>4.13</v>
      </c>
      <c r="C210" s="26">
        <v>26.63</v>
      </c>
      <c r="D210" s="24" t="s">
        <v>8</v>
      </c>
    </row>
    <row r="211" spans="1:4" ht="15.75" customHeight="1" x14ac:dyDescent="0.2">
      <c r="A211" s="27">
        <v>20</v>
      </c>
      <c r="B211" s="28">
        <v>7.36</v>
      </c>
      <c r="C211" s="29">
        <v>80.430000000000007</v>
      </c>
      <c r="D211" s="27" t="s">
        <v>8</v>
      </c>
    </row>
    <row r="212" spans="1:4" ht="15.75" customHeight="1" x14ac:dyDescent="0.2">
      <c r="A212" s="24">
        <v>31</v>
      </c>
      <c r="B212" s="25">
        <v>9.84</v>
      </c>
      <c r="C212" s="26">
        <v>108.17</v>
      </c>
      <c r="D212" s="24" t="s">
        <v>9</v>
      </c>
    </row>
    <row r="213" spans="1:4" ht="15.75" customHeight="1" x14ac:dyDescent="0.2">
      <c r="A213" s="27">
        <v>44</v>
      </c>
      <c r="B213" s="28">
        <v>6.44</v>
      </c>
      <c r="C213" s="29">
        <v>95.27</v>
      </c>
      <c r="D213" s="27" t="s">
        <v>8</v>
      </c>
    </row>
    <row r="214" spans="1:4" ht="15.75" customHeight="1" x14ac:dyDescent="0.2">
      <c r="A214" s="24">
        <v>15</v>
      </c>
      <c r="B214" s="25">
        <v>4.1399999999999997</v>
      </c>
      <c r="C214" s="26">
        <v>35.78</v>
      </c>
      <c r="D214" s="24" t="s">
        <v>8</v>
      </c>
    </row>
    <row r="215" spans="1:4" ht="15.75" customHeight="1" x14ac:dyDescent="0.2">
      <c r="A215" s="27">
        <v>35</v>
      </c>
      <c r="B215" s="28">
        <v>6.63</v>
      </c>
      <c r="C215" s="29">
        <v>79.290000000000006</v>
      </c>
      <c r="D215" s="27" t="s">
        <v>8</v>
      </c>
    </row>
    <row r="216" spans="1:4" ht="15.75" customHeight="1" x14ac:dyDescent="0.2">
      <c r="A216" s="24">
        <v>42</v>
      </c>
      <c r="B216" s="25">
        <v>7.68</v>
      </c>
      <c r="C216" s="26">
        <v>70.06</v>
      </c>
      <c r="D216" s="24" t="s">
        <v>8</v>
      </c>
    </row>
    <row r="217" spans="1:4" ht="15.75" customHeight="1" x14ac:dyDescent="0.2">
      <c r="A217" s="27">
        <v>33</v>
      </c>
      <c r="B217" s="28">
        <v>8.4700000000000006</v>
      </c>
      <c r="C217" s="29">
        <v>69.06</v>
      </c>
      <c r="D217" s="27" t="s">
        <v>8</v>
      </c>
    </row>
    <row r="218" spans="1:4" ht="15.75" customHeight="1" x14ac:dyDescent="0.2">
      <c r="A218" s="24">
        <v>12</v>
      </c>
      <c r="B218" s="25">
        <v>4.5199999999999996</v>
      </c>
      <c r="C218" s="26">
        <v>45.92</v>
      </c>
      <c r="D218" s="24" t="s">
        <v>8</v>
      </c>
    </row>
    <row r="219" spans="1:4" ht="15.75" customHeight="1" x14ac:dyDescent="0.2">
      <c r="A219" s="27">
        <v>8</v>
      </c>
      <c r="B219" s="28">
        <v>8.39</v>
      </c>
      <c r="C219" s="29">
        <v>89.98</v>
      </c>
      <c r="D219" s="27" t="s">
        <v>8</v>
      </c>
    </row>
    <row r="220" spans="1:4" ht="15.75" customHeight="1" x14ac:dyDescent="0.2">
      <c r="A220" s="24">
        <v>28</v>
      </c>
      <c r="B220" s="25">
        <v>8.86</v>
      </c>
      <c r="C220" s="26">
        <v>55.5</v>
      </c>
      <c r="D220" s="24" t="s">
        <v>8</v>
      </c>
    </row>
    <row r="221" spans="1:4" ht="15.75" customHeight="1" x14ac:dyDescent="0.2">
      <c r="A221" s="27">
        <v>2</v>
      </c>
      <c r="B221" s="28">
        <v>9.4600000000000009</v>
      </c>
      <c r="C221" s="29">
        <v>90.99</v>
      </c>
      <c r="D221" s="27" t="s">
        <v>8</v>
      </c>
    </row>
    <row r="222" spans="1:4" ht="15.75" customHeight="1" x14ac:dyDescent="0.2">
      <c r="A222" s="24">
        <v>9</v>
      </c>
      <c r="B222" s="25">
        <v>6.5</v>
      </c>
      <c r="C222" s="26">
        <v>76.010000000000005</v>
      </c>
      <c r="D222" s="24" t="s">
        <v>8</v>
      </c>
    </row>
    <row r="223" spans="1:4" ht="15.75" customHeight="1" x14ac:dyDescent="0.2">
      <c r="A223" s="27">
        <v>27</v>
      </c>
      <c r="B223" s="28">
        <v>6.63</v>
      </c>
      <c r="C223" s="29">
        <v>34.28</v>
      </c>
      <c r="D223" s="27" t="s">
        <v>8</v>
      </c>
    </row>
    <row r="224" spans="1:4" ht="15.75" customHeight="1" x14ac:dyDescent="0.2">
      <c r="A224" s="24">
        <v>38</v>
      </c>
      <c r="B224" s="25">
        <v>8.56</v>
      </c>
      <c r="C224" s="26">
        <v>103.65</v>
      </c>
      <c r="D224" s="24" t="s">
        <v>9</v>
      </c>
    </row>
    <row r="225" spans="1:4" ht="15.75" customHeight="1" x14ac:dyDescent="0.2">
      <c r="A225" s="27">
        <v>33</v>
      </c>
      <c r="B225" s="28">
        <v>9.19</v>
      </c>
      <c r="C225" s="29">
        <v>72.56</v>
      </c>
      <c r="D225" s="27" t="s">
        <v>8</v>
      </c>
    </row>
    <row r="226" spans="1:4" ht="15.75" customHeight="1" x14ac:dyDescent="0.2">
      <c r="A226" s="24">
        <v>23</v>
      </c>
      <c r="B226" s="25">
        <v>4.1500000000000004</v>
      </c>
      <c r="C226" s="26">
        <v>49.27</v>
      </c>
      <c r="D226" s="24" t="s">
        <v>8</v>
      </c>
    </row>
    <row r="227" spans="1:4" ht="15.75" customHeight="1" x14ac:dyDescent="0.2">
      <c r="A227" s="27">
        <v>48</v>
      </c>
      <c r="B227" s="28">
        <v>6.09</v>
      </c>
      <c r="C227" s="29">
        <v>65.209999999999994</v>
      </c>
      <c r="D227" s="27" t="s">
        <v>8</v>
      </c>
    </row>
    <row r="228" spans="1:4" ht="15.75" customHeight="1" x14ac:dyDescent="0.2">
      <c r="A228" s="24">
        <v>28</v>
      </c>
      <c r="B228" s="25">
        <v>7.41</v>
      </c>
      <c r="C228" s="26">
        <v>86.46</v>
      </c>
      <c r="D228" s="24" t="s">
        <v>8</v>
      </c>
    </row>
    <row r="229" spans="1:4" ht="15.75" customHeight="1" x14ac:dyDescent="0.2">
      <c r="A229" s="27">
        <v>9</v>
      </c>
      <c r="B229" s="28">
        <v>5.47</v>
      </c>
      <c r="C229" s="29">
        <v>45.76</v>
      </c>
      <c r="D229" s="27" t="s">
        <v>8</v>
      </c>
    </row>
    <row r="230" spans="1:4" ht="15.75" customHeight="1" x14ac:dyDescent="0.2">
      <c r="A230" s="24">
        <v>31</v>
      </c>
      <c r="B230" s="25">
        <v>4.6500000000000004</v>
      </c>
      <c r="C230" s="26">
        <v>30.74</v>
      </c>
      <c r="D230" s="24" t="s">
        <v>8</v>
      </c>
    </row>
    <row r="231" spans="1:4" ht="15.75" customHeight="1" x14ac:dyDescent="0.2">
      <c r="A231" s="27">
        <v>35</v>
      </c>
      <c r="B231" s="28">
        <v>7.69</v>
      </c>
      <c r="C231" s="29">
        <v>81.08</v>
      </c>
      <c r="D231" s="27" t="s">
        <v>8</v>
      </c>
    </row>
    <row r="232" spans="1:4" ht="15.75" customHeight="1" x14ac:dyDescent="0.2">
      <c r="A232" s="24">
        <v>38</v>
      </c>
      <c r="B232" s="25">
        <v>4.75</v>
      </c>
      <c r="C232" s="26">
        <v>51</v>
      </c>
      <c r="D232" s="24" t="s">
        <v>8</v>
      </c>
    </row>
    <row r="233" spans="1:4" ht="15.75" customHeight="1" x14ac:dyDescent="0.2">
      <c r="A233" s="27">
        <v>41</v>
      </c>
      <c r="B233" s="28">
        <v>8.68</v>
      </c>
      <c r="C233" s="29">
        <v>67.36</v>
      </c>
      <c r="D233" s="27" t="s">
        <v>8</v>
      </c>
    </row>
    <row r="234" spans="1:4" ht="15.75" customHeight="1" x14ac:dyDescent="0.2">
      <c r="A234" s="24">
        <v>33</v>
      </c>
      <c r="B234" s="25">
        <v>7.6</v>
      </c>
      <c r="C234" s="26">
        <v>50.29</v>
      </c>
      <c r="D234" s="24" t="s">
        <v>8</v>
      </c>
    </row>
    <row r="235" spans="1:4" ht="15.75" customHeight="1" x14ac:dyDescent="0.2">
      <c r="A235" s="27">
        <v>30</v>
      </c>
      <c r="B235" s="28">
        <v>9.2200000000000006</v>
      </c>
      <c r="C235" s="29">
        <v>83.76</v>
      </c>
      <c r="D235" s="27" t="s">
        <v>8</v>
      </c>
    </row>
    <row r="236" spans="1:4" ht="15.75" customHeight="1" x14ac:dyDescent="0.2">
      <c r="A236" s="24">
        <v>10</v>
      </c>
      <c r="B236" s="25">
        <v>5.46</v>
      </c>
      <c r="C236" s="26">
        <v>21.46</v>
      </c>
      <c r="D236" s="24" t="s">
        <v>8</v>
      </c>
    </row>
    <row r="237" spans="1:4" ht="15.75" customHeight="1" x14ac:dyDescent="0.2">
      <c r="A237" s="27">
        <v>18</v>
      </c>
      <c r="B237" s="28">
        <v>4.3</v>
      </c>
      <c r="C237" s="29">
        <v>52.51</v>
      </c>
      <c r="D237" s="27" t="s">
        <v>8</v>
      </c>
    </row>
    <row r="238" spans="1:4" ht="15.75" customHeight="1" x14ac:dyDescent="0.2">
      <c r="A238" s="24">
        <v>40</v>
      </c>
      <c r="B238" s="25">
        <v>4.4400000000000004</v>
      </c>
      <c r="C238" s="26">
        <v>24.63</v>
      </c>
      <c r="D238" s="24" t="s">
        <v>8</v>
      </c>
    </row>
    <row r="239" spans="1:4" ht="15.75" customHeight="1" x14ac:dyDescent="0.2">
      <c r="A239" s="27">
        <v>6</v>
      </c>
      <c r="B239" s="28">
        <v>4.68</v>
      </c>
      <c r="C239" s="29">
        <v>9.23</v>
      </c>
      <c r="D239" s="27" t="s">
        <v>8</v>
      </c>
    </row>
    <row r="240" spans="1:4" ht="15.75" customHeight="1" x14ac:dyDescent="0.2">
      <c r="A240" s="24">
        <v>63</v>
      </c>
      <c r="B240" s="25">
        <v>8.5500000000000007</v>
      </c>
      <c r="C240" s="26">
        <v>39.17</v>
      </c>
      <c r="D240" s="24" t="s">
        <v>8</v>
      </c>
    </row>
    <row r="241" spans="1:4" ht="15.75" customHeight="1" x14ac:dyDescent="0.2">
      <c r="A241" s="27">
        <v>9</v>
      </c>
      <c r="B241" s="28">
        <v>4.3</v>
      </c>
      <c r="C241" s="29">
        <v>50.74</v>
      </c>
      <c r="D241" s="27" t="s">
        <v>8</v>
      </c>
    </row>
    <row r="242" spans="1:4" ht="15.75" customHeight="1" x14ac:dyDescent="0.2">
      <c r="A242" s="24">
        <v>42</v>
      </c>
      <c r="B242" s="25">
        <v>7.06</v>
      </c>
      <c r="C242" s="26">
        <v>86.68</v>
      </c>
      <c r="D242" s="24" t="s">
        <v>8</v>
      </c>
    </row>
    <row r="243" spans="1:4" ht="15.75" customHeight="1" x14ac:dyDescent="0.2">
      <c r="A243" s="27">
        <v>24</v>
      </c>
      <c r="B243" s="28">
        <v>8.65</v>
      </c>
      <c r="C243" s="29">
        <v>79.790000000000006</v>
      </c>
      <c r="D243" s="27" t="s">
        <v>8</v>
      </c>
    </row>
    <row r="244" spans="1:4" ht="15.75" customHeight="1" x14ac:dyDescent="0.2">
      <c r="A244" s="24">
        <v>29</v>
      </c>
      <c r="B244" s="25">
        <v>7.38</v>
      </c>
      <c r="C244" s="26">
        <v>26.08</v>
      </c>
      <c r="D244" s="24" t="s">
        <v>8</v>
      </c>
    </row>
    <row r="245" spans="1:4" ht="15.75" customHeight="1" x14ac:dyDescent="0.2">
      <c r="A245" s="27">
        <v>3</v>
      </c>
      <c r="B245" s="28">
        <v>8.1199999999999992</v>
      </c>
      <c r="C245" s="29">
        <v>72.25</v>
      </c>
      <c r="D245" s="27" t="s">
        <v>8</v>
      </c>
    </row>
    <row r="246" spans="1:4" ht="15.75" customHeight="1" x14ac:dyDescent="0.2">
      <c r="A246" s="24">
        <v>22</v>
      </c>
      <c r="B246" s="25">
        <v>5.7</v>
      </c>
      <c r="C246" s="26">
        <v>49.24</v>
      </c>
      <c r="D246" s="24" t="s">
        <v>8</v>
      </c>
    </row>
    <row r="247" spans="1:4" ht="15.75" customHeight="1" x14ac:dyDescent="0.2">
      <c r="A247" s="27">
        <v>36</v>
      </c>
      <c r="B247" s="28">
        <v>9.99</v>
      </c>
      <c r="C247" s="29">
        <v>78.39</v>
      </c>
      <c r="D247" s="27" t="s">
        <v>8</v>
      </c>
    </row>
    <row r="248" spans="1:4" ht="15.75" customHeight="1" x14ac:dyDescent="0.2">
      <c r="A248" s="24">
        <v>67</v>
      </c>
      <c r="B248" s="25">
        <v>5.34</v>
      </c>
      <c r="C248" s="26">
        <v>70.22</v>
      </c>
      <c r="D248" s="24" t="s">
        <v>8</v>
      </c>
    </row>
    <row r="249" spans="1:4" ht="15.75" customHeight="1" x14ac:dyDescent="0.2">
      <c r="A249" s="27">
        <v>5</v>
      </c>
      <c r="B249" s="28">
        <v>8.2200000000000006</v>
      </c>
      <c r="C249" s="29">
        <v>60.49</v>
      </c>
      <c r="D249" s="27" t="s">
        <v>8</v>
      </c>
    </row>
    <row r="250" spans="1:4" ht="15.75" customHeight="1" x14ac:dyDescent="0.2">
      <c r="A250" s="24">
        <v>6</v>
      </c>
      <c r="B250" s="25">
        <v>4.78</v>
      </c>
      <c r="C250" s="26">
        <v>62.92</v>
      </c>
      <c r="D250" s="24" t="s">
        <v>8</v>
      </c>
    </row>
    <row r="251" spans="1:4" ht="15.75" customHeight="1" x14ac:dyDescent="0.2">
      <c r="A251" s="27">
        <v>41</v>
      </c>
      <c r="B251" s="28">
        <v>7.05</v>
      </c>
      <c r="C251" s="29">
        <v>48.83</v>
      </c>
      <c r="D251" s="27" t="s">
        <v>8</v>
      </c>
    </row>
    <row r="252" spans="1:4" ht="15.75" customHeight="1" x14ac:dyDescent="0.2">
      <c r="A252" s="24">
        <v>31</v>
      </c>
      <c r="B252" s="25">
        <v>4.83</v>
      </c>
      <c r="C252" s="26">
        <v>39.82</v>
      </c>
      <c r="D252" s="24" t="s">
        <v>9</v>
      </c>
    </row>
    <row r="253" spans="1:4" ht="15.75" customHeight="1" x14ac:dyDescent="0.2">
      <c r="A253" s="27">
        <v>22</v>
      </c>
      <c r="B253" s="28">
        <v>7.66</v>
      </c>
      <c r="C253" s="29">
        <v>69.86</v>
      </c>
      <c r="D253" s="27" t="s">
        <v>9</v>
      </c>
    </row>
    <row r="254" spans="1:4" ht="15.75" customHeight="1" x14ac:dyDescent="0.2">
      <c r="A254" s="24">
        <v>13</v>
      </c>
      <c r="B254" s="25">
        <v>7.88</v>
      </c>
      <c r="C254" s="26">
        <v>67.95</v>
      </c>
      <c r="D254" s="24" t="s">
        <v>9</v>
      </c>
    </row>
    <row r="255" spans="1:4" ht="15.75" customHeight="1" x14ac:dyDescent="0.2">
      <c r="A255" s="27">
        <v>52</v>
      </c>
      <c r="B255" s="28">
        <v>5.58</v>
      </c>
      <c r="C255" s="29">
        <v>50.66</v>
      </c>
      <c r="D255" s="27" t="s">
        <v>9</v>
      </c>
    </row>
    <row r="256" spans="1:4" ht="15.75" customHeight="1" x14ac:dyDescent="0.2">
      <c r="A256" s="24">
        <v>25</v>
      </c>
      <c r="B256" s="25">
        <v>4.32</v>
      </c>
      <c r="C256" s="26">
        <v>31.48</v>
      </c>
      <c r="D256" s="24" t="s">
        <v>9</v>
      </c>
    </row>
    <row r="257" spans="1:4" ht="15.75" customHeight="1" x14ac:dyDescent="0.2">
      <c r="A257" s="27">
        <v>13</v>
      </c>
      <c r="B257" s="28">
        <v>5.2</v>
      </c>
      <c r="C257" s="29">
        <v>37.39</v>
      </c>
      <c r="D257" s="27" t="s">
        <v>9</v>
      </c>
    </row>
    <row r="258" spans="1:4" ht="15.75" customHeight="1" x14ac:dyDescent="0.2">
      <c r="A258" s="24">
        <v>5</v>
      </c>
      <c r="B258" s="25">
        <v>4.04</v>
      </c>
      <c r="C258" s="26">
        <v>51.67</v>
      </c>
      <c r="D258" s="24" t="s">
        <v>9</v>
      </c>
    </row>
    <row r="259" spans="1:4" ht="15.75" customHeight="1" x14ac:dyDescent="0.2">
      <c r="A259" s="27">
        <v>13</v>
      </c>
      <c r="B259" s="28">
        <v>4.7699999999999996</v>
      </c>
      <c r="C259" s="29">
        <v>43.81</v>
      </c>
      <c r="D259" s="27" t="s">
        <v>9</v>
      </c>
    </row>
    <row r="260" spans="1:4" ht="15.75" customHeight="1" x14ac:dyDescent="0.2">
      <c r="A260" s="24">
        <v>51</v>
      </c>
      <c r="B260" s="25">
        <v>8.34</v>
      </c>
      <c r="C260" s="26">
        <v>70.430000000000007</v>
      </c>
      <c r="D260" s="24" t="s">
        <v>9</v>
      </c>
    </row>
    <row r="261" spans="1:4" ht="15.75" customHeight="1" x14ac:dyDescent="0.2">
      <c r="A261" s="27">
        <v>14</v>
      </c>
      <c r="B261" s="28">
        <v>9.3800000000000008</v>
      </c>
      <c r="C261" s="29">
        <v>79.900000000000006</v>
      </c>
      <c r="D261" s="27" t="s">
        <v>9</v>
      </c>
    </row>
    <row r="262" spans="1:4" ht="15.75" customHeight="1" x14ac:dyDescent="0.2">
      <c r="A262" s="24">
        <v>8</v>
      </c>
      <c r="B262" s="25">
        <v>9.66</v>
      </c>
      <c r="C262" s="26">
        <v>63.34</v>
      </c>
      <c r="D262" s="24" t="s">
        <v>9</v>
      </c>
    </row>
    <row r="263" spans="1:4" ht="15.75" customHeight="1" x14ac:dyDescent="0.2">
      <c r="A263" s="27">
        <v>48</v>
      </c>
      <c r="B263" s="28">
        <v>4</v>
      </c>
      <c r="C263" s="29">
        <v>30.62</v>
      </c>
      <c r="D263" s="27" t="s">
        <v>9</v>
      </c>
    </row>
    <row r="264" spans="1:4" ht="15.75" customHeight="1" x14ac:dyDescent="0.2">
      <c r="A264" s="24">
        <v>38</v>
      </c>
      <c r="B264" s="25">
        <v>7.31</v>
      </c>
      <c r="C264" s="26">
        <v>51.36</v>
      </c>
      <c r="D264" s="24" t="s">
        <v>9</v>
      </c>
    </row>
    <row r="265" spans="1:4" ht="15.75" customHeight="1" x14ac:dyDescent="0.2">
      <c r="A265" s="27">
        <v>51</v>
      </c>
      <c r="B265" s="28">
        <v>7.45</v>
      </c>
      <c r="C265" s="29">
        <v>62.85</v>
      </c>
      <c r="D265" s="27" t="s">
        <v>9</v>
      </c>
    </row>
    <row r="266" spans="1:4" ht="15.75" customHeight="1" x14ac:dyDescent="0.2">
      <c r="A266" s="24">
        <v>17</v>
      </c>
      <c r="B266" s="25">
        <v>9.66</v>
      </c>
      <c r="C266" s="26">
        <v>55.39</v>
      </c>
      <c r="D266" s="24" t="s">
        <v>9</v>
      </c>
    </row>
    <row r="267" spans="1:4" ht="15.75" customHeight="1" x14ac:dyDescent="0.2">
      <c r="A267" s="27">
        <v>38</v>
      </c>
      <c r="B267" s="28">
        <v>9.24</v>
      </c>
      <c r="C267" s="29">
        <v>91.7</v>
      </c>
      <c r="D267" s="27" t="s">
        <v>9</v>
      </c>
    </row>
    <row r="268" spans="1:4" ht="15.75" customHeight="1" x14ac:dyDescent="0.2">
      <c r="A268" s="24">
        <v>47</v>
      </c>
      <c r="B268" s="25">
        <v>4.5</v>
      </c>
      <c r="C268" s="26">
        <v>64.67</v>
      </c>
      <c r="D268" s="24" t="s">
        <v>9</v>
      </c>
    </row>
    <row r="269" spans="1:4" ht="15.75" customHeight="1" x14ac:dyDescent="0.2">
      <c r="A269" s="27">
        <v>19</v>
      </c>
      <c r="B269" s="28">
        <v>7.3</v>
      </c>
      <c r="C269" s="29">
        <v>66.13</v>
      </c>
      <c r="D269" s="27" t="s">
        <v>9</v>
      </c>
    </row>
    <row r="270" spans="1:4" ht="15.75" customHeight="1" x14ac:dyDescent="0.2">
      <c r="A270" s="24">
        <v>3</v>
      </c>
      <c r="B270" s="25">
        <v>5.44</v>
      </c>
      <c r="C270" s="26">
        <v>47.04</v>
      </c>
      <c r="D270" s="24" t="s">
        <v>9</v>
      </c>
    </row>
    <row r="271" spans="1:4" ht="15.75" customHeight="1" x14ac:dyDescent="0.2">
      <c r="A271" s="27">
        <v>14</v>
      </c>
      <c r="B271" s="28">
        <v>8.1199999999999992</v>
      </c>
      <c r="C271" s="29">
        <v>35.380000000000003</v>
      </c>
      <c r="D271" s="27" t="s">
        <v>9</v>
      </c>
    </row>
    <row r="272" spans="1:4" ht="15.75" customHeight="1" x14ac:dyDescent="0.2">
      <c r="A272" s="24">
        <v>27</v>
      </c>
      <c r="B272" s="25">
        <v>9.7799999999999994</v>
      </c>
      <c r="C272" s="26">
        <v>109.79</v>
      </c>
      <c r="D272" s="24" t="s">
        <v>9</v>
      </c>
    </row>
    <row r="273" spans="1:4" ht="15.75" customHeight="1" x14ac:dyDescent="0.2">
      <c r="A273" s="27">
        <v>30</v>
      </c>
      <c r="B273" s="28">
        <v>6.15</v>
      </c>
      <c r="C273" s="29">
        <v>48.99</v>
      </c>
      <c r="D273" s="27" t="s">
        <v>9</v>
      </c>
    </row>
    <row r="274" spans="1:4" ht="15.75" customHeight="1" x14ac:dyDescent="0.2">
      <c r="A274" s="24">
        <v>42</v>
      </c>
      <c r="B274" s="25">
        <v>7.33</v>
      </c>
      <c r="C274" s="26">
        <v>84.13</v>
      </c>
      <c r="D274" s="24" t="s">
        <v>9</v>
      </c>
    </row>
    <row r="275" spans="1:4" ht="15.75" customHeight="1" x14ac:dyDescent="0.2">
      <c r="A275" s="27">
        <v>34</v>
      </c>
      <c r="B275" s="28">
        <v>5.59</v>
      </c>
      <c r="C275" s="29">
        <v>58.41</v>
      </c>
      <c r="D275" s="27" t="s">
        <v>9</v>
      </c>
    </row>
    <row r="276" spans="1:4" ht="15.75" customHeight="1" x14ac:dyDescent="0.2">
      <c r="A276" s="24">
        <v>3</v>
      </c>
      <c r="B276" s="25">
        <v>5.0999999999999996</v>
      </c>
      <c r="C276" s="26">
        <v>38.1</v>
      </c>
      <c r="D276" s="24" t="s">
        <v>9</v>
      </c>
    </row>
    <row r="277" spans="1:4" ht="15.75" customHeight="1" x14ac:dyDescent="0.2">
      <c r="A277" s="27">
        <v>14</v>
      </c>
      <c r="B277" s="28">
        <v>7.73</v>
      </c>
      <c r="C277" s="29">
        <v>66.22</v>
      </c>
      <c r="D277" s="27" t="s">
        <v>9</v>
      </c>
    </row>
    <row r="278" spans="1:4" ht="15.75" customHeight="1" x14ac:dyDescent="0.2">
      <c r="A278" s="24">
        <v>32</v>
      </c>
      <c r="B278" s="25">
        <v>9.74</v>
      </c>
      <c r="C278" s="26">
        <v>89.32</v>
      </c>
      <c r="D278" s="24" t="s">
        <v>9</v>
      </c>
    </row>
    <row r="279" spans="1:4" ht="15.75" customHeight="1" x14ac:dyDescent="0.2">
      <c r="A279" s="27">
        <v>6</v>
      </c>
      <c r="B279" s="28">
        <v>7.33</v>
      </c>
      <c r="C279" s="29">
        <v>71.599999999999994</v>
      </c>
      <c r="D279" s="27" t="s">
        <v>9</v>
      </c>
    </row>
    <row r="280" spans="1:4" ht="15.75" customHeight="1" x14ac:dyDescent="0.2">
      <c r="A280" s="24">
        <v>38</v>
      </c>
      <c r="B280" s="25">
        <v>9.8800000000000008</v>
      </c>
      <c r="C280" s="26">
        <v>51.89</v>
      </c>
      <c r="D280" s="24" t="s">
        <v>9</v>
      </c>
    </row>
    <row r="281" spans="1:4" ht="15.75" customHeight="1" x14ac:dyDescent="0.2">
      <c r="A281" s="27">
        <v>7</v>
      </c>
      <c r="B281" s="28">
        <v>8.17</v>
      </c>
      <c r="C281" s="29">
        <v>65.260000000000005</v>
      </c>
      <c r="D281" s="27" t="s">
        <v>9</v>
      </c>
    </row>
    <row r="282" spans="1:4" ht="15.75" customHeight="1" x14ac:dyDescent="0.2">
      <c r="A282" s="24">
        <v>42</v>
      </c>
      <c r="B282" s="25">
        <v>6.71</v>
      </c>
      <c r="C282" s="26">
        <v>70.739999999999995</v>
      </c>
      <c r="D282" s="24" t="s">
        <v>9</v>
      </c>
    </row>
    <row r="283" spans="1:4" ht="15.75" customHeight="1" x14ac:dyDescent="0.2">
      <c r="A283" s="27">
        <v>24</v>
      </c>
      <c r="B283" s="28">
        <v>6.85</v>
      </c>
      <c r="C283" s="29">
        <v>62.56</v>
      </c>
      <c r="D283" s="27" t="s">
        <v>9</v>
      </c>
    </row>
    <row r="284" spans="1:4" ht="15.75" customHeight="1" x14ac:dyDescent="0.2">
      <c r="A284" s="24">
        <v>12</v>
      </c>
      <c r="B284" s="25">
        <v>5.61</v>
      </c>
      <c r="C284" s="26">
        <v>83.08</v>
      </c>
      <c r="D284" s="24" t="s">
        <v>9</v>
      </c>
    </row>
    <row r="285" spans="1:4" ht="15.75" customHeight="1" x14ac:dyDescent="0.2">
      <c r="A285" s="27">
        <v>33</v>
      </c>
      <c r="B285" s="28">
        <v>8.6199999999999992</v>
      </c>
      <c r="C285" s="29">
        <v>71.040000000000006</v>
      </c>
      <c r="D285" s="27" t="s">
        <v>9</v>
      </c>
    </row>
    <row r="286" spans="1:4" ht="15.75" customHeight="1" x14ac:dyDescent="0.2">
      <c r="A286" s="24">
        <v>1</v>
      </c>
      <c r="B286" s="25">
        <v>6.73</v>
      </c>
      <c r="C286" s="26">
        <v>44.64</v>
      </c>
      <c r="D286" s="24" t="s">
        <v>9</v>
      </c>
    </row>
    <row r="287" spans="1:4" ht="15.75" customHeight="1" x14ac:dyDescent="0.2">
      <c r="A287" s="27">
        <v>30</v>
      </c>
      <c r="B287" s="28">
        <v>8.27</v>
      </c>
      <c r="C287" s="29">
        <v>46.56</v>
      </c>
      <c r="D287" s="27" t="s">
        <v>9</v>
      </c>
    </row>
    <row r="288" spans="1:4" ht="15.75" customHeight="1" x14ac:dyDescent="0.2">
      <c r="A288" s="24">
        <v>43</v>
      </c>
      <c r="B288" s="25">
        <v>7</v>
      </c>
      <c r="C288" s="26">
        <v>38.090000000000003</v>
      </c>
      <c r="D288" s="24" t="s">
        <v>9</v>
      </c>
    </row>
    <row r="289" spans="1:4" ht="15.75" customHeight="1" x14ac:dyDescent="0.2">
      <c r="A289" s="27">
        <v>49</v>
      </c>
      <c r="B289" s="28">
        <v>6.69</v>
      </c>
      <c r="C289" s="29">
        <v>66.430000000000007</v>
      </c>
      <c r="D289" s="27" t="s">
        <v>9</v>
      </c>
    </row>
    <row r="290" spans="1:4" ht="15.75" customHeight="1" x14ac:dyDescent="0.2">
      <c r="A290" s="24">
        <v>2</v>
      </c>
      <c r="B290" s="25">
        <v>7.76</v>
      </c>
      <c r="C290" s="26">
        <v>36.99</v>
      </c>
      <c r="D290" s="24" t="s">
        <v>9</v>
      </c>
    </row>
    <row r="291" spans="1:4" ht="15.75" customHeight="1" x14ac:dyDescent="0.2">
      <c r="A291" s="27">
        <v>53</v>
      </c>
      <c r="B291" s="28">
        <v>8.0500000000000007</v>
      </c>
      <c r="C291" s="29">
        <v>99.96</v>
      </c>
      <c r="D291" s="27" t="s">
        <v>9</v>
      </c>
    </row>
    <row r="292" spans="1:4" ht="15.75" customHeight="1" x14ac:dyDescent="0.2">
      <c r="A292" s="24">
        <v>9</v>
      </c>
      <c r="B292" s="25">
        <v>6.81</v>
      </c>
      <c r="C292" s="26">
        <v>70.040000000000006</v>
      </c>
      <c r="D292" s="24" t="s">
        <v>9</v>
      </c>
    </row>
    <row r="293" spans="1:4" ht="15.75" customHeight="1" x14ac:dyDescent="0.2">
      <c r="A293" s="27">
        <v>24</v>
      </c>
      <c r="B293" s="28">
        <v>9.31</v>
      </c>
      <c r="C293" s="29">
        <v>77.760000000000005</v>
      </c>
      <c r="D293" s="27" t="s">
        <v>9</v>
      </c>
    </row>
    <row r="294" spans="1:4" ht="15.75" customHeight="1" x14ac:dyDescent="0.2">
      <c r="A294" s="24">
        <v>27</v>
      </c>
      <c r="B294" s="25">
        <v>4.1100000000000003</v>
      </c>
      <c r="C294" s="26">
        <v>36.31</v>
      </c>
      <c r="D294" s="24" t="s">
        <v>9</v>
      </c>
    </row>
    <row r="295" spans="1:4" ht="15.75" customHeight="1" x14ac:dyDescent="0.2">
      <c r="A295" s="27">
        <v>18</v>
      </c>
      <c r="B295" s="28">
        <v>7.57</v>
      </c>
      <c r="C295" s="29">
        <v>73.78</v>
      </c>
      <c r="D295" s="27" t="s">
        <v>9</v>
      </c>
    </row>
    <row r="296" spans="1:4" ht="15.75" customHeight="1" x14ac:dyDescent="0.2">
      <c r="A296" s="24">
        <v>30</v>
      </c>
      <c r="B296" s="25">
        <v>8.44</v>
      </c>
      <c r="C296" s="26">
        <v>64.36</v>
      </c>
      <c r="D296" s="24" t="s">
        <v>9</v>
      </c>
    </row>
    <row r="297" spans="1:4" ht="15.75" customHeight="1" x14ac:dyDescent="0.2">
      <c r="A297" s="27">
        <v>20</v>
      </c>
      <c r="B297" s="28">
        <v>7.69</v>
      </c>
      <c r="C297" s="29">
        <v>57.42</v>
      </c>
      <c r="D297" s="27" t="s">
        <v>9</v>
      </c>
    </row>
    <row r="298" spans="1:4" ht="15.75" customHeight="1" x14ac:dyDescent="0.2">
      <c r="A298" s="24">
        <v>20</v>
      </c>
      <c r="B298" s="25">
        <v>5.88</v>
      </c>
      <c r="C298" s="26">
        <v>63.1</v>
      </c>
      <c r="D298" s="24" t="s">
        <v>9</v>
      </c>
    </row>
    <row r="299" spans="1:4" ht="15.75" customHeight="1" x14ac:dyDescent="0.2">
      <c r="A299" s="27">
        <v>23</v>
      </c>
      <c r="B299" s="28">
        <v>7.55</v>
      </c>
      <c r="C299" s="29">
        <v>92.22</v>
      </c>
      <c r="D299" s="27" t="s">
        <v>9</v>
      </c>
    </row>
    <row r="300" spans="1:4" ht="15.75" customHeight="1" x14ac:dyDescent="0.2">
      <c r="A300" s="24">
        <v>24</v>
      </c>
      <c r="B300" s="25">
        <v>5.61</v>
      </c>
      <c r="C300" s="26">
        <v>63.19</v>
      </c>
      <c r="D300" s="24" t="s">
        <v>9</v>
      </c>
    </row>
    <row r="301" spans="1:4" ht="15.75" customHeight="1" x14ac:dyDescent="0.2">
      <c r="A301" s="27">
        <v>26</v>
      </c>
      <c r="B301" s="28">
        <v>5.3</v>
      </c>
      <c r="C301" s="29">
        <v>30.67</v>
      </c>
      <c r="D301" s="27" t="s">
        <v>9</v>
      </c>
    </row>
    <row r="302" spans="1:4" ht="15.75" customHeight="1" x14ac:dyDescent="0.2">
      <c r="A302" s="24">
        <v>31</v>
      </c>
      <c r="B302" s="25">
        <v>8.94</v>
      </c>
      <c r="C302" s="26">
        <v>49.92</v>
      </c>
      <c r="D302" s="24" t="s">
        <v>9</v>
      </c>
    </row>
    <row r="303" spans="1:4" ht="15.75" customHeight="1" x14ac:dyDescent="0.2">
      <c r="A303" s="27">
        <v>28</v>
      </c>
      <c r="B303" s="28">
        <v>4.1399999999999997</v>
      </c>
      <c r="C303" s="29">
        <v>22.54</v>
      </c>
      <c r="D303" s="27" t="s">
        <v>9</v>
      </c>
    </row>
    <row r="304" spans="1:4" ht="15.75" customHeight="1" x14ac:dyDescent="0.2">
      <c r="A304" s="24">
        <v>20</v>
      </c>
      <c r="B304" s="25">
        <v>6.68</v>
      </c>
      <c r="C304" s="26">
        <v>74.41</v>
      </c>
      <c r="D304" s="24" t="s">
        <v>9</v>
      </c>
    </row>
    <row r="305" spans="1:4" ht="15.75" customHeight="1" x14ac:dyDescent="0.2">
      <c r="A305" s="27">
        <v>35</v>
      </c>
      <c r="B305" s="28">
        <v>8.08</v>
      </c>
      <c r="C305" s="29">
        <v>53.62</v>
      </c>
      <c r="D305" s="27" t="s">
        <v>9</v>
      </c>
    </row>
    <row r="306" spans="1:4" ht="15.75" customHeight="1" x14ac:dyDescent="0.2">
      <c r="A306" s="24">
        <v>35</v>
      </c>
      <c r="B306" s="25">
        <v>6.33</v>
      </c>
      <c r="C306" s="26">
        <v>47.69</v>
      </c>
      <c r="D306" s="24" t="s">
        <v>9</v>
      </c>
    </row>
    <row r="307" spans="1:4" ht="15.75" customHeight="1" x14ac:dyDescent="0.2">
      <c r="A307" s="27">
        <v>16</v>
      </c>
      <c r="B307" s="28">
        <v>9.99</v>
      </c>
      <c r="C307" s="29">
        <v>64.83</v>
      </c>
      <c r="D307" s="27" t="s">
        <v>9</v>
      </c>
    </row>
    <row r="308" spans="1:4" ht="15.75" customHeight="1" x14ac:dyDescent="0.2">
      <c r="A308" s="24">
        <v>4</v>
      </c>
      <c r="B308" s="25">
        <v>5.83</v>
      </c>
      <c r="C308" s="26">
        <v>56.59</v>
      </c>
      <c r="D308" s="24" t="s">
        <v>9</v>
      </c>
    </row>
    <row r="309" spans="1:4" ht="15.75" customHeight="1" x14ac:dyDescent="0.2">
      <c r="A309" s="27">
        <v>2</v>
      </c>
      <c r="B309" s="28">
        <v>8.5399999999999991</v>
      </c>
      <c r="C309" s="29">
        <v>86.36</v>
      </c>
      <c r="D309" s="27" t="s">
        <v>9</v>
      </c>
    </row>
    <row r="310" spans="1:4" ht="15.75" customHeight="1" x14ac:dyDescent="0.2">
      <c r="A310" s="24">
        <v>30</v>
      </c>
      <c r="B310" s="25">
        <v>7.18</v>
      </c>
      <c r="C310" s="26">
        <v>22.58</v>
      </c>
      <c r="D310" s="24" t="s">
        <v>9</v>
      </c>
    </row>
    <row r="311" spans="1:4" ht="15.75" customHeight="1" x14ac:dyDescent="0.2">
      <c r="A311" s="27">
        <v>32</v>
      </c>
      <c r="B311" s="28">
        <v>8.8000000000000007</v>
      </c>
      <c r="C311" s="29">
        <v>115.37</v>
      </c>
      <c r="D311" s="27" t="s">
        <v>9</v>
      </c>
    </row>
    <row r="312" spans="1:4" ht="15.75" customHeight="1" x14ac:dyDescent="0.2">
      <c r="A312" s="24">
        <v>35</v>
      </c>
      <c r="B312" s="25">
        <v>9.33</v>
      </c>
      <c r="C312" s="26">
        <v>84.48</v>
      </c>
      <c r="D312" s="24" t="s">
        <v>9</v>
      </c>
    </row>
    <row r="313" spans="1:4" ht="15.75" customHeight="1" x14ac:dyDescent="0.2">
      <c r="A313" s="27">
        <v>15</v>
      </c>
      <c r="B313" s="28">
        <v>8.98</v>
      </c>
      <c r="C313" s="29">
        <v>47.37</v>
      </c>
      <c r="D313" s="27" t="s">
        <v>9</v>
      </c>
    </row>
    <row r="314" spans="1:4" ht="15.75" customHeight="1" x14ac:dyDescent="0.2">
      <c r="A314" s="24">
        <v>18</v>
      </c>
      <c r="B314" s="25">
        <v>6.84</v>
      </c>
      <c r="C314" s="26">
        <v>81.88</v>
      </c>
      <c r="D314" s="24" t="s">
        <v>9</v>
      </c>
    </row>
    <row r="315" spans="1:4" ht="15.75" customHeight="1" x14ac:dyDescent="0.2">
      <c r="A315" s="27">
        <v>5</v>
      </c>
      <c r="B315" s="28">
        <v>7.66</v>
      </c>
      <c r="C315" s="29">
        <v>69.099999999999994</v>
      </c>
      <c r="D315" s="27" t="s">
        <v>9</v>
      </c>
    </row>
    <row r="316" spans="1:4" ht="15.75" customHeight="1" x14ac:dyDescent="0.2">
      <c r="A316" s="24">
        <v>1</v>
      </c>
      <c r="B316" s="25">
        <v>7.93</v>
      </c>
      <c r="C316" s="26">
        <v>53.17</v>
      </c>
      <c r="D316" s="24" t="s">
        <v>9</v>
      </c>
    </row>
    <row r="317" spans="1:4" ht="15.75" customHeight="1" x14ac:dyDescent="0.2">
      <c r="A317" s="27">
        <v>24</v>
      </c>
      <c r="B317" s="28">
        <v>4</v>
      </c>
      <c r="C317" s="29">
        <v>58.99</v>
      </c>
      <c r="D317" s="27" t="s">
        <v>9</v>
      </c>
    </row>
    <row r="318" spans="1:4" ht="15.75" customHeight="1" x14ac:dyDescent="0.2">
      <c r="A318" s="24">
        <v>25</v>
      </c>
      <c r="B318" s="25">
        <v>5.97</v>
      </c>
      <c r="C318" s="26">
        <v>49.48</v>
      </c>
      <c r="D318" s="24" t="s">
        <v>9</v>
      </c>
    </row>
    <row r="319" spans="1:4" ht="15.75" customHeight="1" x14ac:dyDescent="0.2">
      <c r="A319" s="27">
        <v>46</v>
      </c>
      <c r="B319" s="28">
        <v>5.45</v>
      </c>
      <c r="C319" s="29">
        <v>53</v>
      </c>
      <c r="D319" s="27" t="s">
        <v>9</v>
      </c>
    </row>
    <row r="320" spans="1:4" ht="15.75" customHeight="1" x14ac:dyDescent="0.2">
      <c r="A320" s="24">
        <v>20</v>
      </c>
      <c r="B320" s="25">
        <v>4.78</v>
      </c>
      <c r="C320" s="26">
        <v>76.27</v>
      </c>
      <c r="D320" s="24" t="s">
        <v>9</v>
      </c>
    </row>
    <row r="321" spans="1:4" ht="15.75" customHeight="1" x14ac:dyDescent="0.2">
      <c r="A321" s="27">
        <v>48</v>
      </c>
      <c r="B321" s="28">
        <v>5.53</v>
      </c>
      <c r="C321" s="29">
        <v>61.26</v>
      </c>
      <c r="D321" s="27" t="s">
        <v>9</v>
      </c>
    </row>
    <row r="322" spans="1:4" ht="15.75" customHeight="1" x14ac:dyDescent="0.2">
      <c r="A322" s="24">
        <v>17</v>
      </c>
      <c r="B322" s="25">
        <v>9.17</v>
      </c>
      <c r="C322" s="26">
        <v>59.62</v>
      </c>
      <c r="D322" s="24" t="s">
        <v>9</v>
      </c>
    </row>
    <row r="323" spans="1:4" ht="15.75" customHeight="1" x14ac:dyDescent="0.2">
      <c r="A323" s="27">
        <v>35</v>
      </c>
      <c r="B323" s="28">
        <v>5.05</v>
      </c>
      <c r="C323" s="29">
        <v>74.09</v>
      </c>
      <c r="D323" s="27" t="s">
        <v>9</v>
      </c>
    </row>
    <row r="324" spans="1:4" ht="15.75" customHeight="1" x14ac:dyDescent="0.2">
      <c r="A324" s="24">
        <v>30</v>
      </c>
      <c r="B324" s="25">
        <v>8.6</v>
      </c>
      <c r="C324" s="26">
        <v>42.69</v>
      </c>
      <c r="D324" s="24" t="s">
        <v>9</v>
      </c>
    </row>
    <row r="325" spans="1:4" ht="15.75" customHeight="1" x14ac:dyDescent="0.2">
      <c r="A325" s="27">
        <v>19</v>
      </c>
      <c r="B325" s="28">
        <v>6.41</v>
      </c>
      <c r="C325" s="29">
        <v>26.77</v>
      </c>
      <c r="D325" s="27" t="s">
        <v>9</v>
      </c>
    </row>
    <row r="326" spans="1:4" ht="15.75" customHeight="1" x14ac:dyDescent="0.2">
      <c r="A326" s="24">
        <v>15</v>
      </c>
      <c r="B326" s="25">
        <v>9.25</v>
      </c>
      <c r="C326" s="26">
        <v>82.31</v>
      </c>
      <c r="D326" s="24" t="s">
        <v>9</v>
      </c>
    </row>
    <row r="327" spans="1:4" ht="15.75" customHeight="1" x14ac:dyDescent="0.2">
      <c r="A327" s="27">
        <v>48</v>
      </c>
      <c r="B327" s="28">
        <v>6.78</v>
      </c>
      <c r="C327" s="29">
        <v>73.25</v>
      </c>
      <c r="D327" s="27" t="s">
        <v>9</v>
      </c>
    </row>
    <row r="328" spans="1:4" ht="15.75" customHeight="1" x14ac:dyDescent="0.2">
      <c r="A328" s="24">
        <v>13</v>
      </c>
      <c r="B328" s="25">
        <v>5.42</v>
      </c>
      <c r="C328" s="26">
        <v>35.58</v>
      </c>
      <c r="D328" s="24" t="s">
        <v>9</v>
      </c>
    </row>
    <row r="329" spans="1:4" ht="15.75" customHeight="1" x14ac:dyDescent="0.2">
      <c r="A329" s="27">
        <v>25</v>
      </c>
      <c r="B329" s="28">
        <v>7.37</v>
      </c>
      <c r="C329" s="29">
        <v>19.02</v>
      </c>
      <c r="D329" s="27" t="s">
        <v>9</v>
      </c>
    </row>
    <row r="330" spans="1:4" ht="15.75" customHeight="1" x14ac:dyDescent="0.2">
      <c r="A330" s="24">
        <v>15</v>
      </c>
      <c r="B330" s="25">
        <v>4.96</v>
      </c>
      <c r="C330" s="26">
        <v>76.37</v>
      </c>
      <c r="D330" s="24" t="s">
        <v>9</v>
      </c>
    </row>
    <row r="331" spans="1:4" ht="15.75" customHeight="1" x14ac:dyDescent="0.2">
      <c r="A331" s="27">
        <v>21</v>
      </c>
      <c r="B331" s="28">
        <v>7.27</v>
      </c>
      <c r="C331" s="29">
        <v>64.69</v>
      </c>
      <c r="D331" s="27" t="s">
        <v>9</v>
      </c>
    </row>
    <row r="332" spans="1:4" ht="15.75" customHeight="1" x14ac:dyDescent="0.2">
      <c r="A332" s="24">
        <v>32</v>
      </c>
      <c r="B332" s="25">
        <v>6.31</v>
      </c>
      <c r="C332" s="26">
        <v>21.73</v>
      </c>
      <c r="D332" s="24" t="s">
        <v>9</v>
      </c>
    </row>
    <row r="333" spans="1:4" ht="15.75" customHeight="1" x14ac:dyDescent="0.2">
      <c r="A333" s="27">
        <v>26</v>
      </c>
      <c r="B333" s="28">
        <v>8.91</v>
      </c>
      <c r="C333" s="29">
        <v>47.3</v>
      </c>
      <c r="D333" s="27" t="s">
        <v>9</v>
      </c>
    </row>
    <row r="334" spans="1:4" ht="15.75" customHeight="1" x14ac:dyDescent="0.2">
      <c r="A334" s="24">
        <v>28</v>
      </c>
      <c r="B334" s="25">
        <v>9.8699999999999992</v>
      </c>
      <c r="C334" s="26">
        <v>77.92</v>
      </c>
      <c r="D334" s="24" t="s">
        <v>9</v>
      </c>
    </row>
    <row r="335" spans="1:4" ht="15.75" customHeight="1" x14ac:dyDescent="0.2">
      <c r="A335" s="27">
        <v>5</v>
      </c>
      <c r="B335" s="28">
        <v>4.24</v>
      </c>
      <c r="C335" s="29">
        <v>57.95</v>
      </c>
      <c r="D335" s="27" t="s">
        <v>9</v>
      </c>
    </row>
    <row r="336" spans="1:4" ht="15.75" customHeight="1" x14ac:dyDescent="0.2">
      <c r="A336" s="24">
        <v>21</v>
      </c>
      <c r="B336" s="25">
        <v>4.2</v>
      </c>
      <c r="C336" s="26">
        <v>44.29</v>
      </c>
      <c r="D336" s="24" t="s">
        <v>9</v>
      </c>
    </row>
    <row r="337" spans="1:4" ht="15.75" customHeight="1" x14ac:dyDescent="0.2">
      <c r="A337" s="27">
        <v>35</v>
      </c>
      <c r="B337" s="28">
        <v>5.58</v>
      </c>
      <c r="C337" s="29">
        <v>74.44</v>
      </c>
      <c r="D337" s="27" t="s">
        <v>9</v>
      </c>
    </row>
    <row r="338" spans="1:4" ht="15.75" customHeight="1" x14ac:dyDescent="0.2">
      <c r="A338" s="24">
        <v>9</v>
      </c>
      <c r="B338" s="25">
        <v>5.68</v>
      </c>
      <c r="C338" s="26">
        <v>47.5</v>
      </c>
      <c r="D338" s="24" t="s">
        <v>9</v>
      </c>
    </row>
    <row r="339" spans="1:4" ht="15.75" customHeight="1" x14ac:dyDescent="0.2">
      <c r="A339" s="27">
        <v>15</v>
      </c>
      <c r="B339" s="28">
        <v>9.69</v>
      </c>
      <c r="C339" s="29">
        <v>100.72</v>
      </c>
      <c r="D339" s="27" t="s">
        <v>9</v>
      </c>
    </row>
    <row r="340" spans="1:4" ht="15.75" customHeight="1" x14ac:dyDescent="0.2">
      <c r="A340" s="24">
        <v>36</v>
      </c>
      <c r="B340" s="25">
        <v>8.11</v>
      </c>
      <c r="C340" s="26">
        <v>81.53</v>
      </c>
      <c r="D340" s="24" t="s">
        <v>9</v>
      </c>
    </row>
    <row r="341" spans="1:4" ht="15.75" customHeight="1" x14ac:dyDescent="0.2">
      <c r="A341" s="27">
        <v>20</v>
      </c>
      <c r="B341" s="28">
        <v>5.0999999999999996</v>
      </c>
      <c r="C341" s="29">
        <v>58.17</v>
      </c>
      <c r="D341" s="27" t="s">
        <v>9</v>
      </c>
    </row>
    <row r="342" spans="1:4" ht="15.75" customHeight="1" x14ac:dyDescent="0.2">
      <c r="A342" s="24">
        <v>20</v>
      </c>
      <c r="B342" s="25">
        <v>8.35</v>
      </c>
      <c r="C342" s="26">
        <v>41.23</v>
      </c>
      <c r="D342" s="24" t="s">
        <v>9</v>
      </c>
    </row>
    <row r="343" spans="1:4" ht="15.75" customHeight="1" x14ac:dyDescent="0.2">
      <c r="A343" s="27">
        <v>41</v>
      </c>
      <c r="B343" s="28">
        <v>5.74</v>
      </c>
      <c r="C343" s="29">
        <v>77.319999999999993</v>
      </c>
      <c r="D343" s="27" t="s">
        <v>9</v>
      </c>
    </row>
    <row r="344" spans="1:4" ht="15.75" customHeight="1" x14ac:dyDescent="0.2">
      <c r="A344" s="24">
        <v>5</v>
      </c>
      <c r="B344" s="25">
        <v>6.85</v>
      </c>
      <c r="C344" s="26">
        <v>54.74</v>
      </c>
      <c r="D344" s="24" t="s">
        <v>9</v>
      </c>
    </row>
    <row r="345" spans="1:4" ht="15.75" customHeight="1" x14ac:dyDescent="0.2">
      <c r="A345" s="27">
        <v>7</v>
      </c>
      <c r="B345" s="28">
        <v>9.5</v>
      </c>
      <c r="C345" s="29">
        <v>47.91</v>
      </c>
      <c r="D345" s="27" t="s">
        <v>9</v>
      </c>
    </row>
    <row r="346" spans="1:4" ht="15.75" customHeight="1" x14ac:dyDescent="0.2">
      <c r="A346" s="24">
        <v>48</v>
      </c>
      <c r="B346" s="25">
        <v>5.86</v>
      </c>
      <c r="C346" s="26">
        <v>77.989999999999995</v>
      </c>
      <c r="D346" s="24" t="s">
        <v>9</v>
      </c>
    </row>
    <row r="347" spans="1:4" ht="15.75" customHeight="1" x14ac:dyDescent="0.2">
      <c r="A347" s="27">
        <v>27</v>
      </c>
      <c r="B347" s="28">
        <v>6.5</v>
      </c>
      <c r="C347" s="29">
        <v>44.27</v>
      </c>
      <c r="D347" s="27" t="s">
        <v>9</v>
      </c>
    </row>
    <row r="348" spans="1:4" ht="15.75" customHeight="1" x14ac:dyDescent="0.2">
      <c r="A348" s="24">
        <v>44</v>
      </c>
      <c r="B348" s="25">
        <v>8.7899999999999991</v>
      </c>
      <c r="C348" s="26">
        <v>91.53</v>
      </c>
      <c r="D348" s="24" t="s">
        <v>9</v>
      </c>
    </row>
    <row r="349" spans="1:4" ht="15.75" customHeight="1" x14ac:dyDescent="0.2">
      <c r="A349" s="27">
        <v>36</v>
      </c>
      <c r="B349" s="28">
        <v>6.71</v>
      </c>
      <c r="C349" s="29">
        <v>40.14</v>
      </c>
      <c r="D349" s="27" t="s">
        <v>9</v>
      </c>
    </row>
    <row r="350" spans="1:4" ht="15.75" customHeight="1" x14ac:dyDescent="0.2">
      <c r="A350" s="24">
        <v>10</v>
      </c>
      <c r="B350" s="25">
        <v>7.27</v>
      </c>
      <c r="C350" s="26">
        <v>62.96</v>
      </c>
      <c r="D350" s="24" t="s">
        <v>9</v>
      </c>
    </row>
    <row r="351" spans="1:4" ht="15.75" customHeight="1" x14ac:dyDescent="0.2">
      <c r="A351" s="27">
        <v>29</v>
      </c>
      <c r="B351" s="28">
        <v>6.91</v>
      </c>
      <c r="C351" s="29">
        <v>76.37</v>
      </c>
      <c r="D351" s="27" t="s">
        <v>9</v>
      </c>
    </row>
    <row r="352" spans="1:4" ht="15.75" customHeight="1" x14ac:dyDescent="0.2">
      <c r="A352" s="24">
        <v>36</v>
      </c>
      <c r="B352" s="25">
        <v>6.94</v>
      </c>
      <c r="C352" s="26">
        <v>85.29</v>
      </c>
      <c r="D352" s="24" t="s">
        <v>9</v>
      </c>
    </row>
    <row r="353" spans="1:4" ht="15.75" customHeight="1" x14ac:dyDescent="0.2">
      <c r="A353" s="27">
        <v>17</v>
      </c>
      <c r="B353" s="28">
        <v>5.24</v>
      </c>
      <c r="C353" s="29">
        <v>42.46</v>
      </c>
      <c r="D353" s="27" t="s">
        <v>9</v>
      </c>
    </row>
    <row r="354" spans="1:4" ht="15.75" customHeight="1" x14ac:dyDescent="0.2">
      <c r="A354" s="24">
        <v>9</v>
      </c>
      <c r="B354" s="25">
        <v>4.4400000000000004</v>
      </c>
      <c r="C354" s="26">
        <v>34.409999999999997</v>
      </c>
      <c r="D354" s="24" t="s">
        <v>9</v>
      </c>
    </row>
    <row r="355" spans="1:4" ht="15.75" customHeight="1" x14ac:dyDescent="0.2">
      <c r="A355" s="27">
        <v>28</v>
      </c>
      <c r="B355" s="28">
        <v>7.58</v>
      </c>
      <c r="C355" s="29">
        <v>54.71</v>
      </c>
      <c r="D355" s="27" t="s">
        <v>9</v>
      </c>
    </row>
    <row r="356" spans="1:4" ht="15.75" customHeight="1" x14ac:dyDescent="0.2">
      <c r="A356" s="24">
        <v>16</v>
      </c>
      <c r="B356" s="25">
        <v>9.0399999999999991</v>
      </c>
      <c r="C356" s="26">
        <v>89.08</v>
      </c>
      <c r="D356" s="24" t="s">
        <v>9</v>
      </c>
    </row>
    <row r="357" spans="1:4" ht="15.75" customHeight="1" x14ac:dyDescent="0.2">
      <c r="A357" s="27">
        <v>20</v>
      </c>
      <c r="B357" s="28">
        <v>7.84</v>
      </c>
      <c r="C357" s="29">
        <v>63.91</v>
      </c>
      <c r="D357" s="27" t="s">
        <v>9</v>
      </c>
    </row>
    <row r="358" spans="1:4" ht="15.75" customHeight="1" x14ac:dyDescent="0.2">
      <c r="A358" s="24">
        <v>24</v>
      </c>
      <c r="B358" s="25">
        <v>5.18</v>
      </c>
      <c r="C358" s="26">
        <v>59.17</v>
      </c>
      <c r="D358" s="24" t="s">
        <v>9</v>
      </c>
    </row>
    <row r="359" spans="1:4" ht="15.75" customHeight="1" x14ac:dyDescent="0.2">
      <c r="A359" s="27">
        <v>46</v>
      </c>
      <c r="B359" s="28">
        <v>8.14</v>
      </c>
      <c r="C359" s="29">
        <v>74.739999999999995</v>
      </c>
      <c r="D359" s="27" t="s">
        <v>9</v>
      </c>
    </row>
    <row r="360" spans="1:4" ht="15.75" customHeight="1" x14ac:dyDescent="0.2">
      <c r="A360" s="24">
        <v>9</v>
      </c>
      <c r="B360" s="25">
        <v>9.57</v>
      </c>
      <c r="C360" s="26">
        <v>80.03</v>
      </c>
      <c r="D360" s="24" t="s">
        <v>9</v>
      </c>
    </row>
    <row r="361" spans="1:4" ht="15.75" customHeight="1" x14ac:dyDescent="0.2">
      <c r="A361" s="27">
        <v>56</v>
      </c>
      <c r="B361" s="28">
        <v>6.51</v>
      </c>
      <c r="C361" s="29">
        <v>67.02</v>
      </c>
      <c r="D361" s="27" t="s">
        <v>9</v>
      </c>
    </row>
    <row r="362" spans="1:4" ht="15.75" customHeight="1" x14ac:dyDescent="0.2">
      <c r="A362" s="24">
        <v>37</v>
      </c>
      <c r="B362" s="25">
        <v>8.65</v>
      </c>
      <c r="C362" s="26">
        <v>91.16</v>
      </c>
      <c r="D362" s="24" t="s">
        <v>9</v>
      </c>
    </row>
    <row r="363" spans="1:4" ht="15.75" customHeight="1" x14ac:dyDescent="0.2">
      <c r="A363" s="27">
        <v>22</v>
      </c>
      <c r="B363" s="28">
        <v>6.09</v>
      </c>
      <c r="C363" s="29">
        <v>55.31</v>
      </c>
      <c r="D363" s="27" t="s">
        <v>9</v>
      </c>
    </row>
    <row r="364" spans="1:4" ht="15.75" customHeight="1" x14ac:dyDescent="0.2">
      <c r="A364" s="24">
        <v>19</v>
      </c>
      <c r="B364" s="25">
        <v>7.79</v>
      </c>
      <c r="C364" s="26">
        <v>34.770000000000003</v>
      </c>
      <c r="D364" s="24" t="s">
        <v>9</v>
      </c>
    </row>
    <row r="365" spans="1:4" ht="15.75" customHeight="1" x14ac:dyDescent="0.2">
      <c r="A365" s="27">
        <v>50</v>
      </c>
      <c r="B365" s="28">
        <v>5.58</v>
      </c>
      <c r="C365" s="29">
        <v>24.34</v>
      </c>
      <c r="D365" s="27" t="s">
        <v>9</v>
      </c>
    </row>
    <row r="366" spans="1:4" ht="15.75" customHeight="1" x14ac:dyDescent="0.2">
      <c r="A366" s="24">
        <v>32</v>
      </c>
      <c r="B366" s="25">
        <v>8.68</v>
      </c>
      <c r="C366" s="26">
        <v>89.26</v>
      </c>
      <c r="D366" s="24" t="s">
        <v>9</v>
      </c>
    </row>
    <row r="367" spans="1:4" ht="15.75" customHeight="1" x14ac:dyDescent="0.2">
      <c r="A367" s="27">
        <v>38</v>
      </c>
      <c r="B367" s="28">
        <v>7.81</v>
      </c>
      <c r="C367" s="29">
        <v>44.39</v>
      </c>
      <c r="D367" s="27" t="s">
        <v>9</v>
      </c>
    </row>
    <row r="368" spans="1:4" ht="15.75" customHeight="1" x14ac:dyDescent="0.2">
      <c r="A368" s="24">
        <v>27</v>
      </c>
      <c r="B368" s="25">
        <v>5.22</v>
      </c>
      <c r="C368" s="26">
        <v>28.76</v>
      </c>
      <c r="D368" s="24" t="s">
        <v>9</v>
      </c>
    </row>
    <row r="369" spans="1:4" ht="15.75" customHeight="1" x14ac:dyDescent="0.2">
      <c r="A369" s="27">
        <v>14</v>
      </c>
      <c r="B369" s="28">
        <v>8.6</v>
      </c>
      <c r="C369" s="29">
        <v>84.49</v>
      </c>
      <c r="D369" s="27" t="s">
        <v>9</v>
      </c>
    </row>
    <row r="370" spans="1:4" ht="15.75" customHeight="1" x14ac:dyDescent="0.2">
      <c r="A370" s="24">
        <v>8</v>
      </c>
      <c r="B370" s="25">
        <v>4.22</v>
      </c>
      <c r="C370" s="26">
        <v>52.93</v>
      </c>
      <c r="D370" s="24" t="s">
        <v>9</v>
      </c>
    </row>
    <row r="371" spans="1:4" ht="15.75" customHeight="1" x14ac:dyDescent="0.2">
      <c r="A371" s="27">
        <v>10</v>
      </c>
      <c r="B371" s="28">
        <v>6.95</v>
      </c>
      <c r="C371" s="29">
        <v>87.42</v>
      </c>
      <c r="D371" s="27" t="s">
        <v>9</v>
      </c>
    </row>
    <row r="372" spans="1:4" ht="15.75" customHeight="1" x14ac:dyDescent="0.2">
      <c r="A372" s="24">
        <v>26</v>
      </c>
      <c r="B372" s="25">
        <v>6.82</v>
      </c>
      <c r="C372" s="26">
        <v>51.97</v>
      </c>
      <c r="D372" s="24" t="s">
        <v>9</v>
      </c>
    </row>
    <row r="373" spans="1:4" ht="15.75" customHeight="1" x14ac:dyDescent="0.2">
      <c r="A373" s="27">
        <v>1</v>
      </c>
      <c r="B373" s="28">
        <v>9.06</v>
      </c>
      <c r="C373" s="29">
        <v>67.66</v>
      </c>
      <c r="D373" s="27" t="s">
        <v>9</v>
      </c>
    </row>
    <row r="374" spans="1:4" ht="15.75" customHeight="1" x14ac:dyDescent="0.2">
      <c r="A374" s="24">
        <v>9</v>
      </c>
      <c r="B374" s="25">
        <v>6.7</v>
      </c>
      <c r="C374" s="26">
        <v>47.74</v>
      </c>
      <c r="D374" s="24" t="s">
        <v>9</v>
      </c>
    </row>
    <row r="375" spans="1:4" ht="15.75" customHeight="1" x14ac:dyDescent="0.2">
      <c r="A375" s="27">
        <v>18</v>
      </c>
      <c r="B375" s="28">
        <v>4.0199999999999996</v>
      </c>
      <c r="C375" s="29">
        <v>70</v>
      </c>
      <c r="D375" s="27" t="s">
        <v>9</v>
      </c>
    </row>
    <row r="376" spans="1:4" ht="15.75" customHeight="1" x14ac:dyDescent="0.2">
      <c r="A376" s="24">
        <v>15</v>
      </c>
      <c r="B376" s="25">
        <v>9.5299999999999994</v>
      </c>
      <c r="C376" s="26">
        <v>73.02</v>
      </c>
      <c r="D376" s="24" t="s">
        <v>9</v>
      </c>
    </row>
    <row r="377" spans="1:4" ht="15.75" customHeight="1" x14ac:dyDescent="0.2">
      <c r="A377" s="27">
        <v>16</v>
      </c>
      <c r="B377" s="28">
        <v>6.49</v>
      </c>
      <c r="C377" s="29">
        <v>63.52</v>
      </c>
      <c r="D377" s="27" t="s">
        <v>9</v>
      </c>
    </row>
    <row r="378" spans="1:4" ht="15.75" customHeight="1" x14ac:dyDescent="0.2">
      <c r="A378" s="24">
        <v>43</v>
      </c>
      <c r="B378" s="25">
        <v>8.85</v>
      </c>
      <c r="C378" s="26">
        <v>66.16</v>
      </c>
      <c r="D378" s="24" t="s">
        <v>9</v>
      </c>
    </row>
    <row r="379" spans="1:4" ht="15.75" customHeight="1" x14ac:dyDescent="0.2">
      <c r="A379" s="27">
        <v>29</v>
      </c>
      <c r="B379" s="28">
        <v>6.27</v>
      </c>
      <c r="C379" s="29">
        <v>59.31</v>
      </c>
      <c r="D379" s="27" t="s">
        <v>9</v>
      </c>
    </row>
    <row r="380" spans="1:4" ht="15.75" customHeight="1" x14ac:dyDescent="0.2">
      <c r="A380" s="24">
        <v>50</v>
      </c>
      <c r="B380" s="25">
        <v>6.18</v>
      </c>
      <c r="C380" s="26">
        <v>31.57</v>
      </c>
      <c r="D380" s="24" t="s">
        <v>9</v>
      </c>
    </row>
    <row r="381" spans="1:4" ht="15.75" customHeight="1" x14ac:dyDescent="0.2">
      <c r="A381" s="27">
        <v>32</v>
      </c>
      <c r="B381" s="28">
        <v>8</v>
      </c>
      <c r="C381" s="29">
        <v>62.46</v>
      </c>
      <c r="D381" s="27" t="s">
        <v>9</v>
      </c>
    </row>
    <row r="382" spans="1:4" ht="15.75" customHeight="1" x14ac:dyDescent="0.2">
      <c r="A382" s="24">
        <v>12</v>
      </c>
      <c r="B382" s="25">
        <v>6.96</v>
      </c>
      <c r="C382" s="26">
        <v>61.19</v>
      </c>
      <c r="D382" s="24" t="s">
        <v>9</v>
      </c>
    </row>
    <row r="383" spans="1:4" ht="15.75" customHeight="1" x14ac:dyDescent="0.2">
      <c r="A383" s="27">
        <v>35</v>
      </c>
      <c r="B383" s="28">
        <v>9.56</v>
      </c>
      <c r="C383" s="29">
        <v>67.12</v>
      </c>
      <c r="D383" s="27" t="s">
        <v>9</v>
      </c>
    </row>
    <row r="384" spans="1:4" ht="15.75" customHeight="1" x14ac:dyDescent="0.2">
      <c r="A384" s="24">
        <v>45</v>
      </c>
      <c r="B384" s="25">
        <v>6.06</v>
      </c>
      <c r="C384" s="26">
        <v>54.51</v>
      </c>
      <c r="D384" s="24" t="s">
        <v>9</v>
      </c>
    </row>
    <row r="385" spans="1:4" ht="15.75" customHeight="1" x14ac:dyDescent="0.2">
      <c r="A385" s="27">
        <v>17</v>
      </c>
      <c r="B385" s="28">
        <v>7.7</v>
      </c>
      <c r="C385" s="29">
        <v>61.02</v>
      </c>
      <c r="D385" s="27" t="s">
        <v>9</v>
      </c>
    </row>
    <row r="386" spans="1:4" ht="15.75" customHeight="1" x14ac:dyDescent="0.2">
      <c r="A386" s="24">
        <v>27</v>
      </c>
      <c r="B386" s="25">
        <v>5.05</v>
      </c>
      <c r="C386" s="26">
        <v>73.69</v>
      </c>
      <c r="D386" s="24" t="s">
        <v>9</v>
      </c>
    </row>
    <row r="387" spans="1:4" ht="15.75" customHeight="1" x14ac:dyDescent="0.2">
      <c r="A387" s="27">
        <v>32</v>
      </c>
      <c r="B387" s="28">
        <v>7.38</v>
      </c>
      <c r="C387" s="29">
        <v>75.75</v>
      </c>
      <c r="D387" s="27" t="s">
        <v>9</v>
      </c>
    </row>
    <row r="388" spans="1:4" ht="15.75" customHeight="1" x14ac:dyDescent="0.2">
      <c r="A388" s="24">
        <v>48</v>
      </c>
      <c r="B388" s="25">
        <v>6.23</v>
      </c>
      <c r="C388" s="26">
        <v>36.51</v>
      </c>
      <c r="D388" s="24" t="s">
        <v>9</v>
      </c>
    </row>
    <row r="389" spans="1:4" ht="15.75" customHeight="1" x14ac:dyDescent="0.2">
      <c r="A389" s="27">
        <v>32</v>
      </c>
      <c r="B389" s="28">
        <v>7.19</v>
      </c>
      <c r="C389" s="29">
        <v>48.4</v>
      </c>
      <c r="D389" s="27" t="s">
        <v>9</v>
      </c>
    </row>
    <row r="390" spans="1:4" ht="15.75" customHeight="1" x14ac:dyDescent="0.2">
      <c r="A390" s="24">
        <v>16</v>
      </c>
      <c r="B390" s="25">
        <v>9.3800000000000008</v>
      </c>
      <c r="C390" s="26">
        <v>90.42</v>
      </c>
      <c r="D390" s="24" t="s">
        <v>9</v>
      </c>
    </row>
    <row r="391" spans="1:4" ht="15.75" customHeight="1" x14ac:dyDescent="0.2">
      <c r="A391" s="27">
        <v>39</v>
      </c>
      <c r="B391" s="28">
        <v>7.98</v>
      </c>
      <c r="C391" s="29">
        <v>55.94</v>
      </c>
      <c r="D391" s="27" t="s">
        <v>9</v>
      </c>
    </row>
    <row r="392" spans="1:4" ht="15.75" customHeight="1" x14ac:dyDescent="0.2">
      <c r="A392" s="24">
        <v>16</v>
      </c>
      <c r="B392" s="25">
        <v>6.66</v>
      </c>
      <c r="C392" s="26">
        <v>55.42</v>
      </c>
      <c r="D392" s="24" t="s">
        <v>9</v>
      </c>
    </row>
    <row r="393" spans="1:4" ht="15.75" customHeight="1" x14ac:dyDescent="0.2">
      <c r="A393" s="27">
        <v>10</v>
      </c>
      <c r="B393" s="28">
        <v>6.96</v>
      </c>
      <c r="C393" s="29">
        <v>47.98</v>
      </c>
      <c r="D393" s="27" t="s">
        <v>9</v>
      </c>
    </row>
    <row r="394" spans="1:4" ht="15.75" customHeight="1" x14ac:dyDescent="0.2">
      <c r="A394" s="24">
        <v>24</v>
      </c>
      <c r="B394" s="25">
        <v>7.07</v>
      </c>
      <c r="C394" s="26">
        <v>92.83</v>
      </c>
      <c r="D394" s="24" t="s">
        <v>9</v>
      </c>
    </row>
    <row r="395" spans="1:4" ht="15.75" customHeight="1" x14ac:dyDescent="0.2">
      <c r="A395" s="27">
        <v>64</v>
      </c>
      <c r="B395" s="28">
        <v>8.08</v>
      </c>
      <c r="C395" s="29">
        <v>89.18</v>
      </c>
      <c r="D395" s="27" t="s">
        <v>9</v>
      </c>
    </row>
    <row r="396" spans="1:4" ht="15.75" customHeight="1" x14ac:dyDescent="0.2">
      <c r="A396" s="24">
        <v>34</v>
      </c>
      <c r="B396" s="25">
        <v>6.25</v>
      </c>
      <c r="C396" s="26">
        <v>35.03</v>
      </c>
      <c r="D396" s="24" t="s">
        <v>9</v>
      </c>
    </row>
    <row r="397" spans="1:4" ht="15.75" customHeight="1" x14ac:dyDescent="0.2">
      <c r="A397" s="27">
        <v>37</v>
      </c>
      <c r="B397" s="28">
        <v>5.15</v>
      </c>
      <c r="C397" s="29">
        <v>36.72</v>
      </c>
      <c r="D397" s="27" t="s">
        <v>9</v>
      </c>
    </row>
    <row r="398" spans="1:4" ht="15.75" customHeight="1" x14ac:dyDescent="0.2">
      <c r="A398" s="24">
        <v>25</v>
      </c>
      <c r="B398" s="25">
        <v>8.5500000000000007</v>
      </c>
      <c r="C398" s="26">
        <v>37.83</v>
      </c>
      <c r="D398" s="24" t="s">
        <v>9</v>
      </c>
    </row>
    <row r="399" spans="1:4" ht="15.75" customHeight="1" x14ac:dyDescent="0.2">
      <c r="A399" s="27">
        <v>18</v>
      </c>
      <c r="B399" s="28">
        <v>7.31</v>
      </c>
      <c r="C399" s="29">
        <v>53.57</v>
      </c>
      <c r="D399" s="27" t="s">
        <v>9</v>
      </c>
    </row>
    <row r="400" spans="1:4" ht="15.75" customHeight="1" x14ac:dyDescent="0.2">
      <c r="A400" s="24">
        <v>34</v>
      </c>
      <c r="B400" s="25">
        <v>8.41</v>
      </c>
      <c r="C400" s="26">
        <v>8.69</v>
      </c>
      <c r="D400" s="24" t="s">
        <v>9</v>
      </c>
    </row>
    <row r="401" spans="1:4" ht="15.75" customHeight="1" x14ac:dyDescent="0.2">
      <c r="A401" s="27">
        <v>10</v>
      </c>
      <c r="B401" s="28">
        <v>5.65</v>
      </c>
      <c r="C401" s="29">
        <v>20.309999999999999</v>
      </c>
      <c r="D401" s="27" t="s">
        <v>9</v>
      </c>
    </row>
    <row r="402" spans="1:4" ht="15.75" customHeight="1" x14ac:dyDescent="0.2">
      <c r="A402" s="24">
        <v>46</v>
      </c>
      <c r="B402" s="25">
        <v>9.6199999999999992</v>
      </c>
      <c r="C402" s="26">
        <v>92.89</v>
      </c>
      <c r="D402" s="24" t="s">
        <v>9</v>
      </c>
    </row>
    <row r="403" spans="1:4" ht="15.75" customHeight="1" x14ac:dyDescent="0.2">
      <c r="A403" s="27">
        <v>25</v>
      </c>
      <c r="B403" s="28">
        <v>5.94</v>
      </c>
      <c r="C403" s="29">
        <v>100.07</v>
      </c>
      <c r="D403" s="27" t="s">
        <v>9</v>
      </c>
    </row>
    <row r="404" spans="1:4" ht="15.75" customHeight="1" x14ac:dyDescent="0.2">
      <c r="A404" s="24">
        <v>19</v>
      </c>
      <c r="B404" s="25">
        <v>6.22</v>
      </c>
      <c r="C404" s="26">
        <v>33.18</v>
      </c>
      <c r="D404" s="24" t="s">
        <v>9</v>
      </c>
    </row>
    <row r="405" spans="1:4" ht="15.75" customHeight="1" x14ac:dyDescent="0.2">
      <c r="A405" s="27">
        <v>7</v>
      </c>
      <c r="B405" s="28">
        <v>6.99</v>
      </c>
      <c r="C405" s="29">
        <v>57.18</v>
      </c>
      <c r="D405" s="27" t="s">
        <v>9</v>
      </c>
    </row>
    <row r="406" spans="1:4" ht="15.75" customHeight="1" x14ac:dyDescent="0.2">
      <c r="A406" s="24">
        <v>17</v>
      </c>
      <c r="B406" s="25">
        <v>6.05</v>
      </c>
      <c r="C406" s="26">
        <v>67.25</v>
      </c>
      <c r="D406" s="24" t="s">
        <v>9</v>
      </c>
    </row>
    <row r="407" spans="1:4" ht="15.75" customHeight="1" x14ac:dyDescent="0.2">
      <c r="A407" s="27">
        <v>26</v>
      </c>
      <c r="B407" s="28">
        <v>5.31</v>
      </c>
      <c r="C407" s="29">
        <v>52.1</v>
      </c>
      <c r="D407" s="27" t="s">
        <v>9</v>
      </c>
    </row>
    <row r="408" spans="1:4" ht="15.75" customHeight="1" x14ac:dyDescent="0.2">
      <c r="A408" s="24">
        <v>49</v>
      </c>
      <c r="B408" s="25">
        <v>5.61</v>
      </c>
      <c r="C408" s="26">
        <v>71.069999999999993</v>
      </c>
      <c r="D408" s="24" t="s">
        <v>9</v>
      </c>
    </row>
    <row r="409" spans="1:4" ht="15.75" customHeight="1" x14ac:dyDescent="0.2">
      <c r="A409" s="27">
        <v>24</v>
      </c>
      <c r="B409" s="28">
        <v>8.83</v>
      </c>
      <c r="C409" s="29">
        <v>76.27</v>
      </c>
      <c r="D409" s="27" t="s">
        <v>9</v>
      </c>
    </row>
    <row r="410" spans="1:4" ht="15.75" customHeight="1" x14ac:dyDescent="0.2">
      <c r="A410" s="24">
        <v>25</v>
      </c>
      <c r="B410" s="25">
        <v>4.57</v>
      </c>
      <c r="C410" s="26">
        <v>45.88</v>
      </c>
      <c r="D410" s="24" t="s">
        <v>9</v>
      </c>
    </row>
    <row r="411" spans="1:4" ht="15.75" customHeight="1" x14ac:dyDescent="0.2">
      <c r="A411" s="27">
        <v>17</v>
      </c>
      <c r="B411" s="28">
        <v>5.99</v>
      </c>
      <c r="C411" s="29">
        <v>80.13</v>
      </c>
      <c r="D411" s="27" t="s">
        <v>9</v>
      </c>
    </row>
    <row r="412" spans="1:4" ht="15.75" customHeight="1" x14ac:dyDescent="0.2">
      <c r="A412" s="24">
        <v>42</v>
      </c>
      <c r="B412" s="25">
        <v>7.67</v>
      </c>
      <c r="C412" s="26">
        <v>58.01</v>
      </c>
      <c r="D412" s="24" t="s">
        <v>9</v>
      </c>
    </row>
    <row r="413" spans="1:4" ht="15.75" customHeight="1" x14ac:dyDescent="0.2">
      <c r="A413" s="27">
        <v>29</v>
      </c>
      <c r="B413" s="28">
        <v>8.2899999999999991</v>
      </c>
      <c r="C413" s="29">
        <v>50.65</v>
      </c>
      <c r="D413" s="27" t="s">
        <v>9</v>
      </c>
    </row>
    <row r="414" spans="1:4" ht="15.75" customHeight="1" x14ac:dyDescent="0.2">
      <c r="A414" s="24">
        <v>9</v>
      </c>
      <c r="B414" s="25">
        <v>9.23</v>
      </c>
      <c r="C414" s="26">
        <v>82.68</v>
      </c>
      <c r="D414" s="24" t="s">
        <v>9</v>
      </c>
    </row>
    <row r="415" spans="1:4" ht="15.75" customHeight="1" x14ac:dyDescent="0.2">
      <c r="A415" s="27">
        <v>36</v>
      </c>
      <c r="B415" s="28">
        <v>5.98</v>
      </c>
      <c r="C415" s="29">
        <v>56.8</v>
      </c>
      <c r="D415" s="27" t="s">
        <v>9</v>
      </c>
    </row>
    <row r="416" spans="1:4" ht="15.75" customHeight="1" x14ac:dyDescent="0.2">
      <c r="A416" s="24">
        <v>15</v>
      </c>
      <c r="B416" s="25">
        <v>5.35</v>
      </c>
      <c r="C416" s="26">
        <v>43.32</v>
      </c>
      <c r="D416" s="24" t="s">
        <v>9</v>
      </c>
    </row>
    <row r="417" spans="1:4" ht="15.75" customHeight="1" x14ac:dyDescent="0.2">
      <c r="A417" s="27">
        <v>24</v>
      </c>
      <c r="B417" s="28">
        <v>9.02</v>
      </c>
      <c r="C417" s="29">
        <v>68.38</v>
      </c>
      <c r="D417" s="27" t="s">
        <v>9</v>
      </c>
    </row>
    <row r="418" spans="1:4" ht="15.75" customHeight="1" x14ac:dyDescent="0.2">
      <c r="A418" s="24">
        <v>28</v>
      </c>
      <c r="B418" s="25">
        <v>7.27</v>
      </c>
      <c r="C418" s="26">
        <v>33.450000000000003</v>
      </c>
      <c r="D418" s="24" t="s">
        <v>9</v>
      </c>
    </row>
    <row r="419" spans="1:4" ht="15.75" customHeight="1" x14ac:dyDescent="0.2">
      <c r="A419" s="27">
        <v>26</v>
      </c>
      <c r="B419" s="28">
        <v>9.3000000000000007</v>
      </c>
      <c r="C419" s="29">
        <v>78.83</v>
      </c>
      <c r="D419" s="27" t="s">
        <v>9</v>
      </c>
    </row>
    <row r="420" spans="1:4" ht="15.75" customHeight="1" x14ac:dyDescent="0.2">
      <c r="A420" s="24">
        <v>20</v>
      </c>
      <c r="B420" s="25">
        <v>6.75</v>
      </c>
      <c r="C420" s="26">
        <v>79.989999999999995</v>
      </c>
      <c r="D420" s="24" t="s">
        <v>9</v>
      </c>
    </row>
    <row r="421" spans="1:4" ht="15.75" customHeight="1" x14ac:dyDescent="0.2">
      <c r="A421" s="27">
        <v>36</v>
      </c>
      <c r="B421" s="28">
        <v>8.8800000000000008</v>
      </c>
      <c r="C421" s="29">
        <v>73.25</v>
      </c>
      <c r="D421" s="27" t="s">
        <v>9</v>
      </c>
    </row>
    <row r="422" spans="1:4" ht="15.75" customHeight="1" x14ac:dyDescent="0.2">
      <c r="A422" s="24">
        <v>36</v>
      </c>
      <c r="B422" s="25">
        <v>7.25</v>
      </c>
      <c r="C422" s="26">
        <v>42.01</v>
      </c>
      <c r="D422" s="24" t="s">
        <v>9</v>
      </c>
    </row>
    <row r="423" spans="1:4" ht="15.75" customHeight="1" x14ac:dyDescent="0.2">
      <c r="A423" s="27">
        <v>5</v>
      </c>
      <c r="B423" s="28">
        <v>6.8</v>
      </c>
      <c r="C423" s="29">
        <v>61.9</v>
      </c>
      <c r="D423" s="27" t="s">
        <v>9</v>
      </c>
    </row>
    <row r="424" spans="1:4" ht="15.75" customHeight="1" x14ac:dyDescent="0.2">
      <c r="A424" s="24">
        <v>15</v>
      </c>
      <c r="B424" s="25">
        <v>6.65</v>
      </c>
      <c r="C424" s="26">
        <v>54.56</v>
      </c>
      <c r="D424" s="24" t="s">
        <v>9</v>
      </c>
    </row>
    <row r="425" spans="1:4" ht="15.75" customHeight="1" x14ac:dyDescent="0.2">
      <c r="A425" s="27">
        <v>28</v>
      </c>
      <c r="B425" s="28">
        <v>6.93</v>
      </c>
      <c r="C425" s="29">
        <v>71.62</v>
      </c>
      <c r="D425" s="27" t="s">
        <v>9</v>
      </c>
    </row>
    <row r="426" spans="1:4" ht="15.75" customHeight="1" x14ac:dyDescent="0.2">
      <c r="A426" s="24">
        <v>35</v>
      </c>
      <c r="B426" s="25">
        <v>8.74</v>
      </c>
      <c r="C426" s="26">
        <v>72.92</v>
      </c>
      <c r="D426" s="24" t="s">
        <v>9</v>
      </c>
    </row>
    <row r="427" spans="1:4" ht="15.75" customHeight="1" x14ac:dyDescent="0.2">
      <c r="A427" s="27">
        <v>29</v>
      </c>
      <c r="B427" s="28">
        <v>7.9</v>
      </c>
      <c r="C427" s="29">
        <v>41.49</v>
      </c>
      <c r="D427" s="27" t="s">
        <v>9</v>
      </c>
    </row>
    <row r="428" spans="1:4" ht="15.75" customHeight="1" x14ac:dyDescent="0.2">
      <c r="A428" s="24">
        <v>42</v>
      </c>
      <c r="B428" s="25">
        <v>6.73</v>
      </c>
      <c r="C428" s="26">
        <v>67.739999999999995</v>
      </c>
      <c r="D428" s="24" t="s">
        <v>9</v>
      </c>
    </row>
    <row r="429" spans="1:4" ht="15.75" customHeight="1" x14ac:dyDescent="0.2">
      <c r="A429" s="27">
        <v>14</v>
      </c>
      <c r="B429" s="28">
        <v>5.79</v>
      </c>
      <c r="C429" s="29">
        <v>43.41</v>
      </c>
      <c r="D429" s="27" t="s">
        <v>9</v>
      </c>
    </row>
    <row r="430" spans="1:4" ht="15.75" customHeight="1" x14ac:dyDescent="0.2">
      <c r="A430" s="24">
        <v>25</v>
      </c>
      <c r="B430" s="25">
        <v>4.99</v>
      </c>
      <c r="C430" s="26">
        <v>42.91</v>
      </c>
      <c r="D430" s="24" t="s">
        <v>9</v>
      </c>
    </row>
    <row r="431" spans="1:4" ht="15.75" customHeight="1" x14ac:dyDescent="0.2">
      <c r="A431" s="27">
        <v>5</v>
      </c>
      <c r="B431" s="28">
        <v>8.52</v>
      </c>
      <c r="C431" s="29">
        <v>66.650000000000006</v>
      </c>
      <c r="D431" s="27" t="s">
        <v>9</v>
      </c>
    </row>
    <row r="432" spans="1:4" ht="15.75" customHeight="1" x14ac:dyDescent="0.2">
      <c r="A432" s="24">
        <v>74</v>
      </c>
      <c r="B432" s="25">
        <v>6.65</v>
      </c>
      <c r="C432" s="26">
        <v>55.63</v>
      </c>
      <c r="D432" s="24" t="s">
        <v>9</v>
      </c>
    </row>
    <row r="433" spans="1:4" ht="15.75" customHeight="1" x14ac:dyDescent="0.2">
      <c r="A433" s="27">
        <v>2</v>
      </c>
      <c r="B433" s="28">
        <v>7.12</v>
      </c>
      <c r="C433" s="29">
        <v>89.46</v>
      </c>
      <c r="D433" s="27" t="s">
        <v>9</v>
      </c>
    </row>
    <row r="434" spans="1:4" ht="15.75" customHeight="1" x14ac:dyDescent="0.2">
      <c r="A434" s="24">
        <v>51</v>
      </c>
      <c r="B434" s="25">
        <v>7.45</v>
      </c>
      <c r="C434" s="26">
        <v>35.75</v>
      </c>
      <c r="D434" s="24" t="s">
        <v>9</v>
      </c>
    </row>
    <row r="435" spans="1:4" ht="15.75" customHeight="1" x14ac:dyDescent="0.2">
      <c r="A435" s="27">
        <v>38</v>
      </c>
      <c r="B435" s="28">
        <v>6.02</v>
      </c>
      <c r="C435" s="29">
        <v>45.03</v>
      </c>
      <c r="D435" s="27" t="s">
        <v>9</v>
      </c>
    </row>
    <row r="436" spans="1:4" ht="15.75" customHeight="1" x14ac:dyDescent="0.2">
      <c r="A436" s="24">
        <v>21</v>
      </c>
      <c r="B436" s="25">
        <v>7.87</v>
      </c>
      <c r="C436" s="26">
        <v>55.21</v>
      </c>
      <c r="D436" s="24" t="s">
        <v>9</v>
      </c>
    </row>
    <row r="437" spans="1:4" ht="15.75" customHeight="1" x14ac:dyDescent="0.2">
      <c r="A437" s="27">
        <v>48</v>
      </c>
      <c r="B437" s="28">
        <v>4.6900000000000004</v>
      </c>
      <c r="C437" s="29">
        <v>61.81</v>
      </c>
      <c r="D437" s="27" t="s">
        <v>9</v>
      </c>
    </row>
    <row r="438" spans="1:4" ht="15.75" customHeight="1" x14ac:dyDescent="0.2">
      <c r="A438" s="24">
        <v>14</v>
      </c>
      <c r="B438" s="25">
        <v>6.74</v>
      </c>
      <c r="C438" s="26">
        <v>79.67</v>
      </c>
      <c r="D438" s="24" t="s">
        <v>9</v>
      </c>
    </row>
    <row r="439" spans="1:4" ht="15.75" customHeight="1" x14ac:dyDescent="0.2">
      <c r="A439" s="27">
        <v>38</v>
      </c>
      <c r="B439" s="28">
        <v>4.92</v>
      </c>
      <c r="C439" s="29">
        <v>38.86</v>
      </c>
      <c r="D439" s="27" t="s">
        <v>9</v>
      </c>
    </row>
    <row r="440" spans="1:4" ht="15.75" customHeight="1" x14ac:dyDescent="0.2">
      <c r="A440" s="24">
        <v>36</v>
      </c>
      <c r="B440" s="25">
        <v>7.25</v>
      </c>
      <c r="C440" s="26">
        <v>91.39</v>
      </c>
      <c r="D440" s="24" t="s">
        <v>9</v>
      </c>
    </row>
    <row r="441" spans="1:4" ht="15.75" customHeight="1" x14ac:dyDescent="0.2">
      <c r="A441" s="27">
        <v>22</v>
      </c>
      <c r="B441" s="28">
        <v>5.05</v>
      </c>
      <c r="C441" s="29">
        <v>45.65</v>
      </c>
      <c r="D441" s="27" t="s">
        <v>9</v>
      </c>
    </row>
    <row r="442" spans="1:4" ht="15.75" customHeight="1" x14ac:dyDescent="0.2">
      <c r="A442" s="24">
        <v>24</v>
      </c>
      <c r="B442" s="25">
        <v>5.65</v>
      </c>
      <c r="C442" s="26">
        <v>65.02</v>
      </c>
      <c r="D442" s="24" t="s">
        <v>9</v>
      </c>
    </row>
    <row r="443" spans="1:4" ht="15.75" customHeight="1" x14ac:dyDescent="0.2">
      <c r="A443" s="27">
        <v>22</v>
      </c>
      <c r="B443" s="28">
        <v>9.1999999999999993</v>
      </c>
      <c r="C443" s="29">
        <v>72.510000000000005</v>
      </c>
      <c r="D443" s="27" t="s">
        <v>9</v>
      </c>
    </row>
    <row r="444" spans="1:4" ht="15.75" customHeight="1" x14ac:dyDescent="0.2">
      <c r="A444" s="24">
        <v>29</v>
      </c>
      <c r="B444" s="25">
        <v>6.32</v>
      </c>
      <c r="C444" s="26">
        <v>73.260000000000005</v>
      </c>
      <c r="D444" s="24" t="s">
        <v>9</v>
      </c>
    </row>
    <row r="445" spans="1:4" ht="15.75" customHeight="1" x14ac:dyDescent="0.2">
      <c r="A445" s="27">
        <v>7</v>
      </c>
      <c r="B445" s="28">
        <v>4.3899999999999997</v>
      </c>
      <c r="C445" s="29">
        <v>20.170000000000002</v>
      </c>
      <c r="D445" s="27" t="s">
        <v>9</v>
      </c>
    </row>
    <row r="446" spans="1:4" ht="15.75" customHeight="1" x14ac:dyDescent="0.2">
      <c r="A446" s="24">
        <v>43</v>
      </c>
      <c r="B446" s="25">
        <v>9.18</v>
      </c>
      <c r="C446" s="26">
        <v>65.19</v>
      </c>
      <c r="D446" s="24" t="s">
        <v>9</v>
      </c>
    </row>
    <row r="447" spans="1:4" ht="15.75" customHeight="1" x14ac:dyDescent="0.2">
      <c r="A447" s="27">
        <v>15</v>
      </c>
      <c r="B447" s="28">
        <v>7.42</v>
      </c>
      <c r="C447" s="29">
        <v>53.4</v>
      </c>
      <c r="D447" s="27" t="s">
        <v>9</v>
      </c>
    </row>
    <row r="448" spans="1:4" ht="15.75" customHeight="1" x14ac:dyDescent="0.2">
      <c r="A448" s="24">
        <v>14</v>
      </c>
      <c r="B448" s="25">
        <v>9.69</v>
      </c>
      <c r="C448" s="26">
        <v>82.07</v>
      </c>
      <c r="D448" s="24" t="s">
        <v>9</v>
      </c>
    </row>
    <row r="449" spans="1:4" ht="15.75" customHeight="1" x14ac:dyDescent="0.2">
      <c r="A449" s="27">
        <v>2</v>
      </c>
      <c r="B449" s="28">
        <v>6.03</v>
      </c>
      <c r="C449" s="29">
        <v>66.72</v>
      </c>
      <c r="D449" s="27" t="s">
        <v>9</v>
      </c>
    </row>
    <row r="450" spans="1:4" ht="15.75" customHeight="1" x14ac:dyDescent="0.2">
      <c r="A450" s="24">
        <v>68</v>
      </c>
      <c r="B450" s="25">
        <v>4.37</v>
      </c>
      <c r="C450" s="26">
        <v>23.31</v>
      </c>
      <c r="D450" s="24" t="s">
        <v>9</v>
      </c>
    </row>
    <row r="451" spans="1:4" ht="15.75" customHeight="1" x14ac:dyDescent="0.2">
      <c r="A451" s="27">
        <v>19</v>
      </c>
      <c r="B451" s="28">
        <v>7.73</v>
      </c>
      <c r="C451" s="29">
        <v>75.430000000000007</v>
      </c>
      <c r="D451" s="27" t="s">
        <v>9</v>
      </c>
    </row>
    <row r="452" spans="1:4" ht="15.75" customHeight="1" x14ac:dyDescent="0.2">
      <c r="A452" s="24">
        <v>10</v>
      </c>
      <c r="B452" s="25">
        <v>4.8</v>
      </c>
      <c r="C452" s="26">
        <v>29.99</v>
      </c>
      <c r="D452" s="24" t="s">
        <v>9</v>
      </c>
    </row>
    <row r="453" spans="1:4" ht="15.75" customHeight="1" x14ac:dyDescent="0.2">
      <c r="A453" s="27">
        <v>29</v>
      </c>
      <c r="B453" s="28">
        <v>4.8499999999999996</v>
      </c>
      <c r="C453" s="29">
        <v>59.93</v>
      </c>
      <c r="D453" s="27" t="s">
        <v>9</v>
      </c>
    </row>
    <row r="454" spans="1:4" ht="15.75" customHeight="1" x14ac:dyDescent="0.2">
      <c r="A454" s="24">
        <v>50</v>
      </c>
      <c r="B454" s="25">
        <v>8.42</v>
      </c>
      <c r="C454" s="26">
        <v>88.33</v>
      </c>
      <c r="D454" s="24" t="s">
        <v>9</v>
      </c>
    </row>
    <row r="455" spans="1:4" ht="15.75" customHeight="1" x14ac:dyDescent="0.2">
      <c r="A455" s="27">
        <v>2</v>
      </c>
      <c r="B455" s="28">
        <v>9.73</v>
      </c>
      <c r="C455" s="29">
        <v>94.71</v>
      </c>
      <c r="D455" s="27" t="s">
        <v>9</v>
      </c>
    </row>
    <row r="456" spans="1:4" ht="15.75" customHeight="1" x14ac:dyDescent="0.2">
      <c r="A456" s="24">
        <v>40</v>
      </c>
      <c r="B456" s="25">
        <v>9.27</v>
      </c>
      <c r="C456" s="26">
        <v>55.3</v>
      </c>
      <c r="D456" s="24" t="s">
        <v>9</v>
      </c>
    </row>
    <row r="457" spans="1:4" ht="15.75" customHeight="1" x14ac:dyDescent="0.2">
      <c r="A457" s="27">
        <v>23</v>
      </c>
      <c r="B457" s="28">
        <v>4.6100000000000003</v>
      </c>
      <c r="C457" s="29">
        <v>41.34</v>
      </c>
      <c r="D457" s="27" t="s">
        <v>9</v>
      </c>
    </row>
    <row r="458" spans="1:4" ht="15.75" customHeight="1" x14ac:dyDescent="0.2">
      <c r="A458" s="24">
        <v>35</v>
      </c>
      <c r="B458" s="25">
        <v>7.46</v>
      </c>
      <c r="C458" s="26">
        <v>55.88</v>
      </c>
      <c r="D458" s="24" t="s">
        <v>9</v>
      </c>
    </row>
    <row r="459" spans="1:4" ht="15.75" customHeight="1" x14ac:dyDescent="0.2">
      <c r="A459" s="27">
        <v>36</v>
      </c>
      <c r="B459" s="28">
        <v>5.86</v>
      </c>
      <c r="C459" s="29">
        <v>50.94</v>
      </c>
      <c r="D459" s="27" t="s">
        <v>9</v>
      </c>
    </row>
    <row r="460" spans="1:4" ht="15.75" customHeight="1" x14ac:dyDescent="0.2">
      <c r="A460" s="24">
        <v>8</v>
      </c>
      <c r="B460" s="25">
        <v>9.1999999999999993</v>
      </c>
      <c r="C460" s="26">
        <v>73.45</v>
      </c>
      <c r="D460" s="24" t="s">
        <v>9</v>
      </c>
    </row>
    <row r="461" spans="1:4" ht="15.75" customHeight="1" x14ac:dyDescent="0.2">
      <c r="A461" s="27">
        <v>20</v>
      </c>
      <c r="B461" s="28">
        <v>4.46</v>
      </c>
      <c r="C461" s="29">
        <v>34.049999999999997</v>
      </c>
      <c r="D461" s="27" t="s">
        <v>9</v>
      </c>
    </row>
    <row r="462" spans="1:4" ht="15.75" customHeight="1" x14ac:dyDescent="0.2">
      <c r="A462" s="24">
        <v>37</v>
      </c>
      <c r="B462" s="25">
        <v>9.44</v>
      </c>
      <c r="C462" s="26">
        <v>61.2</v>
      </c>
      <c r="D462" s="24" t="s">
        <v>9</v>
      </c>
    </row>
    <row r="463" spans="1:4" ht="15.75" customHeight="1" x14ac:dyDescent="0.2">
      <c r="A463" s="27">
        <v>46</v>
      </c>
      <c r="B463" s="28">
        <v>9.4700000000000006</v>
      </c>
      <c r="C463" s="29">
        <v>75.08</v>
      </c>
      <c r="D463" s="27" t="s">
        <v>9</v>
      </c>
    </row>
    <row r="464" spans="1:4" ht="15.75" customHeight="1" x14ac:dyDescent="0.2">
      <c r="A464" s="24">
        <v>26</v>
      </c>
      <c r="B464" s="25">
        <v>7.81</v>
      </c>
      <c r="C464" s="26">
        <v>71.47</v>
      </c>
      <c r="D464" s="24" t="s">
        <v>9</v>
      </c>
    </row>
    <row r="465" spans="1:4" ht="15.75" customHeight="1" x14ac:dyDescent="0.2">
      <c r="A465" s="27">
        <v>31</v>
      </c>
      <c r="B465" s="28">
        <v>6.34</v>
      </c>
      <c r="C465" s="29">
        <v>56.08</v>
      </c>
      <c r="D465" s="27" t="s">
        <v>9</v>
      </c>
    </row>
    <row r="466" spans="1:4" ht="15.75" customHeight="1" x14ac:dyDescent="0.2">
      <c r="A466" s="24">
        <v>40</v>
      </c>
      <c r="B466" s="25">
        <v>5.5</v>
      </c>
      <c r="C466" s="26">
        <v>70.36</v>
      </c>
      <c r="D466" s="24" t="s">
        <v>9</v>
      </c>
    </row>
    <row r="467" spans="1:4" ht="15.75" customHeight="1" x14ac:dyDescent="0.2">
      <c r="A467" s="27">
        <v>34</v>
      </c>
      <c r="B467" s="28">
        <v>9.99</v>
      </c>
      <c r="C467" s="29">
        <v>92.22</v>
      </c>
      <c r="D467" s="27" t="s">
        <v>9</v>
      </c>
    </row>
    <row r="468" spans="1:4" ht="15.75" customHeight="1" x14ac:dyDescent="0.2">
      <c r="A468" s="24">
        <v>34</v>
      </c>
      <c r="B468" s="25">
        <v>8.89</v>
      </c>
      <c r="C468" s="26">
        <v>85.79</v>
      </c>
      <c r="D468" s="24" t="s">
        <v>9</v>
      </c>
    </row>
    <row r="469" spans="1:4" ht="15.75" customHeight="1" x14ac:dyDescent="0.2">
      <c r="A469" s="27">
        <v>23</v>
      </c>
      <c r="B469" s="28">
        <v>9.3000000000000007</v>
      </c>
      <c r="C469" s="29">
        <v>58.26</v>
      </c>
      <c r="D469" s="27" t="s">
        <v>9</v>
      </c>
    </row>
    <row r="470" spans="1:4" ht="15.75" customHeight="1" x14ac:dyDescent="0.2">
      <c r="A470" s="24">
        <v>8</v>
      </c>
      <c r="B470" s="25">
        <v>6.67</v>
      </c>
      <c r="C470" s="26">
        <v>50.18</v>
      </c>
      <c r="D470" s="24" t="s">
        <v>9</v>
      </c>
    </row>
    <row r="471" spans="1:4" ht="15.75" customHeight="1" x14ac:dyDescent="0.2">
      <c r="A471" s="27">
        <v>18</v>
      </c>
      <c r="B471" s="28">
        <v>6.54</v>
      </c>
      <c r="C471" s="29">
        <v>60.5</v>
      </c>
      <c r="D471" s="27" t="s">
        <v>9</v>
      </c>
    </row>
    <row r="472" spans="1:4" ht="15.75" customHeight="1" x14ac:dyDescent="0.2">
      <c r="A472" s="24">
        <v>38</v>
      </c>
      <c r="B472" s="25">
        <v>6.92</v>
      </c>
      <c r="C472" s="26">
        <v>50.8</v>
      </c>
      <c r="D472" s="24" t="s">
        <v>9</v>
      </c>
    </row>
    <row r="473" spans="1:4" ht="15.75" customHeight="1" x14ac:dyDescent="0.2">
      <c r="A473" s="27">
        <v>33</v>
      </c>
      <c r="B473" s="28">
        <v>5.91</v>
      </c>
      <c r="C473" s="29">
        <v>54.85</v>
      </c>
      <c r="D473" s="27" t="s">
        <v>9</v>
      </c>
    </row>
    <row r="474" spans="1:4" ht="15.75" customHeight="1" x14ac:dyDescent="0.2">
      <c r="A474" s="24">
        <v>1</v>
      </c>
      <c r="B474" s="25">
        <v>5.76</v>
      </c>
      <c r="C474" s="26">
        <v>36.57</v>
      </c>
      <c r="D474" s="24" t="s">
        <v>9</v>
      </c>
    </row>
    <row r="475" spans="1:4" ht="15.75" customHeight="1" x14ac:dyDescent="0.2">
      <c r="A475" s="27">
        <v>28</v>
      </c>
      <c r="B475" s="28">
        <v>9.27</v>
      </c>
      <c r="C475" s="29">
        <v>81.64</v>
      </c>
      <c r="D475" s="27" t="s">
        <v>9</v>
      </c>
    </row>
    <row r="476" spans="1:4" ht="15.75" customHeight="1" x14ac:dyDescent="0.2">
      <c r="A476" s="24">
        <v>40</v>
      </c>
      <c r="B476" s="25">
        <v>9.2100000000000009</v>
      </c>
      <c r="C476" s="26">
        <v>67.63</v>
      </c>
      <c r="D476" s="24" t="s">
        <v>9</v>
      </c>
    </row>
    <row r="477" spans="1:4" ht="15.75" customHeight="1" x14ac:dyDescent="0.2">
      <c r="A477" s="27">
        <v>41</v>
      </c>
      <c r="B477" s="28">
        <v>4.6399999999999997</v>
      </c>
      <c r="C477" s="29">
        <v>38.450000000000003</v>
      </c>
      <c r="D477" s="27" t="s">
        <v>9</v>
      </c>
    </row>
    <row r="478" spans="1:4" ht="15.75" customHeight="1" x14ac:dyDescent="0.2">
      <c r="A478" s="24">
        <v>31</v>
      </c>
      <c r="B478" s="25">
        <v>7.46</v>
      </c>
      <c r="C478" s="26">
        <v>52.4</v>
      </c>
      <c r="D478" s="24" t="s">
        <v>9</v>
      </c>
    </row>
    <row r="479" spans="1:4" ht="15.75" customHeight="1" x14ac:dyDescent="0.2">
      <c r="A479" s="27">
        <v>57</v>
      </c>
      <c r="B479" s="28">
        <v>5.85</v>
      </c>
      <c r="C479" s="29">
        <v>28.16</v>
      </c>
      <c r="D479" s="27" t="s">
        <v>9</v>
      </c>
    </row>
    <row r="480" spans="1:4" ht="15.75" customHeight="1" x14ac:dyDescent="0.2">
      <c r="A480" s="24">
        <v>43</v>
      </c>
      <c r="B480" s="25">
        <v>6.23</v>
      </c>
      <c r="C480" s="26">
        <v>42.26</v>
      </c>
      <c r="D480" s="24" t="s">
        <v>9</v>
      </c>
    </row>
    <row r="481" spans="1:4" ht="15.75" customHeight="1" x14ac:dyDescent="0.2">
      <c r="A481" s="27">
        <v>24</v>
      </c>
      <c r="B481" s="28">
        <v>6.46</v>
      </c>
      <c r="C481" s="29">
        <v>50.33</v>
      </c>
      <c r="D481" s="27" t="s">
        <v>9</v>
      </c>
    </row>
    <row r="482" spans="1:4" ht="15.75" customHeight="1" x14ac:dyDescent="0.2">
      <c r="A482" s="24">
        <v>32</v>
      </c>
      <c r="B482" s="25">
        <v>7.48</v>
      </c>
      <c r="C482" s="26">
        <v>49.8</v>
      </c>
      <c r="D482" s="24" t="s">
        <v>9</v>
      </c>
    </row>
    <row r="483" spans="1:4" ht="15.75" customHeight="1" x14ac:dyDescent="0.2">
      <c r="A483" s="27">
        <v>48</v>
      </c>
      <c r="B483" s="28">
        <v>5.93</v>
      </c>
      <c r="C483" s="29">
        <v>10.96</v>
      </c>
      <c r="D483" s="27" t="s">
        <v>9</v>
      </c>
    </row>
    <row r="484" spans="1:4" ht="15.75" customHeight="1" x14ac:dyDescent="0.2">
      <c r="A484" s="24">
        <v>51</v>
      </c>
      <c r="B484" s="25">
        <v>4.96</v>
      </c>
      <c r="C484" s="26">
        <v>35.53</v>
      </c>
      <c r="D484" s="24" t="s">
        <v>9</v>
      </c>
    </row>
    <row r="485" spans="1:4" ht="15.75" customHeight="1" x14ac:dyDescent="0.2">
      <c r="A485" s="27">
        <v>7</v>
      </c>
      <c r="B485" s="28">
        <v>4.0599999999999996</v>
      </c>
      <c r="C485" s="29">
        <v>21.98</v>
      </c>
      <c r="D485" s="27" t="s">
        <v>9</v>
      </c>
    </row>
    <row r="486" spans="1:4" ht="15.75" customHeight="1" x14ac:dyDescent="0.2">
      <c r="A486" s="24">
        <v>29</v>
      </c>
      <c r="B486" s="25">
        <v>4.1500000000000004</v>
      </c>
      <c r="C486" s="26">
        <v>20.84</v>
      </c>
      <c r="D486" s="24" t="s">
        <v>9</v>
      </c>
    </row>
    <row r="487" spans="1:4" ht="15.75" customHeight="1" x14ac:dyDescent="0.2">
      <c r="A487" s="27">
        <v>32</v>
      </c>
      <c r="B487" s="28">
        <v>4.3099999999999996</v>
      </c>
      <c r="C487" s="29">
        <v>33.97</v>
      </c>
      <c r="D487" s="27" t="s">
        <v>9</v>
      </c>
    </row>
    <row r="488" spans="1:4" ht="15.75" customHeight="1" x14ac:dyDescent="0.2">
      <c r="A488" s="24">
        <v>39</v>
      </c>
      <c r="B488" s="25">
        <v>7.07</v>
      </c>
      <c r="C488" s="26">
        <v>48.18</v>
      </c>
      <c r="D488" s="24" t="s">
        <v>9</v>
      </c>
    </row>
    <row r="489" spans="1:4" ht="15.75" customHeight="1" x14ac:dyDescent="0.2">
      <c r="A489" s="27">
        <v>37</v>
      </c>
      <c r="B489" s="28">
        <v>6.64</v>
      </c>
      <c r="C489" s="29">
        <v>66.959999999999994</v>
      </c>
      <c r="D489" s="27" t="s">
        <v>9</v>
      </c>
    </row>
    <row r="490" spans="1:4" ht="15.75" customHeight="1" x14ac:dyDescent="0.2">
      <c r="A490" s="24">
        <v>15</v>
      </c>
      <c r="B490" s="25">
        <v>4.62</v>
      </c>
      <c r="C490" s="26">
        <v>65.36</v>
      </c>
      <c r="D490" s="24" t="s">
        <v>9</v>
      </c>
    </row>
    <row r="491" spans="1:4" ht="15.75" customHeight="1" x14ac:dyDescent="0.2">
      <c r="A491" s="27">
        <v>52</v>
      </c>
      <c r="B491" s="28">
        <v>4.03</v>
      </c>
      <c r="C491" s="29">
        <v>25.68</v>
      </c>
      <c r="D491" s="27" t="s">
        <v>9</v>
      </c>
    </row>
    <row r="492" spans="1:4" ht="15.75" customHeight="1" x14ac:dyDescent="0.2">
      <c r="A492" s="24">
        <v>23</v>
      </c>
      <c r="B492" s="25">
        <v>8.9700000000000006</v>
      </c>
      <c r="C492" s="26">
        <v>53.51</v>
      </c>
      <c r="D492" s="24" t="s">
        <v>9</v>
      </c>
    </row>
    <row r="493" spans="1:4" ht="15.75" customHeight="1" x14ac:dyDescent="0.2">
      <c r="A493" s="27">
        <v>50</v>
      </c>
      <c r="B493" s="28">
        <v>5.21</v>
      </c>
      <c r="C493" s="29">
        <v>92.88</v>
      </c>
      <c r="D493" s="27" t="s">
        <v>9</v>
      </c>
    </row>
    <row r="494" spans="1:4" ht="15.75" customHeight="1" x14ac:dyDescent="0.2">
      <c r="A494" s="24">
        <v>17</v>
      </c>
      <c r="B494" s="25">
        <v>7.93</v>
      </c>
      <c r="C494" s="26">
        <v>61.63</v>
      </c>
      <c r="D494" s="24" t="s">
        <v>9</v>
      </c>
    </row>
    <row r="495" spans="1:4" ht="15.75" customHeight="1" x14ac:dyDescent="0.2">
      <c r="A495" s="27">
        <v>19</v>
      </c>
      <c r="B495" s="28">
        <v>4.12</v>
      </c>
      <c r="C495" s="29">
        <v>37.869999999999997</v>
      </c>
      <c r="D495" s="27" t="s">
        <v>9</v>
      </c>
    </row>
    <row r="496" spans="1:4" ht="15.75" customHeight="1" x14ac:dyDescent="0.2">
      <c r="A496" s="24">
        <v>8</v>
      </c>
      <c r="B496" s="25">
        <v>4.62</v>
      </c>
      <c r="C496" s="26">
        <v>24.61</v>
      </c>
      <c r="D496" s="24" t="s">
        <v>9</v>
      </c>
    </row>
    <row r="497" spans="1:4" ht="15.75" customHeight="1" x14ac:dyDescent="0.2">
      <c r="A497" s="27">
        <v>4</v>
      </c>
      <c r="B497" s="28">
        <v>7.06</v>
      </c>
      <c r="C497" s="29">
        <v>40.79</v>
      </c>
      <c r="D497" s="27" t="s">
        <v>9</v>
      </c>
    </row>
    <row r="498" spans="1:4" ht="15.75" customHeight="1" x14ac:dyDescent="0.2">
      <c r="A498" s="24">
        <v>3</v>
      </c>
      <c r="B498" s="25">
        <v>9.23</v>
      </c>
      <c r="C498" s="26">
        <v>94.26</v>
      </c>
      <c r="D498" s="24" t="s">
        <v>9</v>
      </c>
    </row>
    <row r="499" spans="1:4" ht="15.75" customHeight="1" x14ac:dyDescent="0.2">
      <c r="A499" s="27">
        <v>57</v>
      </c>
      <c r="B499" s="28">
        <v>5.96</v>
      </c>
      <c r="C499" s="29">
        <v>84.26</v>
      </c>
      <c r="D499" s="27" t="s">
        <v>9</v>
      </c>
    </row>
    <row r="500" spans="1:4" ht="15.75" customHeight="1" x14ac:dyDescent="0.2">
      <c r="A500" s="24">
        <v>30</v>
      </c>
      <c r="B500" s="25">
        <v>9.24</v>
      </c>
      <c r="C500" s="26">
        <v>77.36</v>
      </c>
      <c r="D500" s="24" t="s">
        <v>9</v>
      </c>
    </row>
    <row r="501" spans="1:4" ht="15.75" customHeight="1" x14ac:dyDescent="0.2">
      <c r="A501" s="27">
        <v>7</v>
      </c>
      <c r="B501" s="28">
        <v>5.84</v>
      </c>
      <c r="C501" s="29">
        <v>40.15</v>
      </c>
      <c r="D501" s="27" t="s">
        <v>9</v>
      </c>
    </row>
    <row r="502" spans="1:4" ht="15.75" customHeight="1" x14ac:dyDescent="0.2">
      <c r="A502" s="24">
        <v>24</v>
      </c>
      <c r="B502" s="25">
        <v>4.66</v>
      </c>
      <c r="C502" s="26">
        <v>36.200000000000003</v>
      </c>
      <c r="D502" s="24" t="s">
        <v>9</v>
      </c>
    </row>
    <row r="503" spans="1:4" ht="15.75" customHeight="1" x14ac:dyDescent="0.2">
      <c r="A503" s="27">
        <v>27</v>
      </c>
      <c r="B503" s="28">
        <v>8.41</v>
      </c>
      <c r="C503" s="29">
        <v>54.49</v>
      </c>
      <c r="D503" s="27" t="s">
        <v>9</v>
      </c>
    </row>
    <row r="504" spans="1:4" ht="15.75" customHeight="1" x14ac:dyDescent="0.2">
      <c r="A504" s="24">
        <v>21</v>
      </c>
      <c r="B504" s="25">
        <v>9.15</v>
      </c>
      <c r="C504" s="26">
        <v>78.58</v>
      </c>
      <c r="D504" s="24" t="s">
        <v>9</v>
      </c>
    </row>
    <row r="505" spans="1:4" ht="15.75" customHeight="1" x14ac:dyDescent="0.2">
      <c r="A505" s="27">
        <v>13</v>
      </c>
      <c r="B505" s="28">
        <v>5.67</v>
      </c>
      <c r="C505" s="29">
        <v>61.28</v>
      </c>
      <c r="D505" s="27" t="s">
        <v>9</v>
      </c>
    </row>
    <row r="506" spans="1:4" ht="15.75" customHeight="1" x14ac:dyDescent="0.2">
      <c r="A506" s="24">
        <v>15</v>
      </c>
      <c r="B506" s="25">
        <v>5.59</v>
      </c>
      <c r="C506" s="26">
        <v>68.12</v>
      </c>
      <c r="D506" s="24" t="s">
        <v>9</v>
      </c>
    </row>
    <row r="507" spans="1:4" ht="15.75" customHeight="1" x14ac:dyDescent="0.2">
      <c r="A507" s="27">
        <v>17</v>
      </c>
      <c r="B507" s="28">
        <v>9.1</v>
      </c>
      <c r="C507" s="29">
        <v>52.07</v>
      </c>
      <c r="D507" s="27" t="s">
        <v>9</v>
      </c>
    </row>
    <row r="508" spans="1:4" ht="15.75" customHeight="1" x14ac:dyDescent="0.2">
      <c r="A508" s="24">
        <v>32</v>
      </c>
      <c r="B508" s="25">
        <v>6.24</v>
      </c>
      <c r="C508" s="26">
        <v>54.93</v>
      </c>
      <c r="D508" s="24" t="s">
        <v>9</v>
      </c>
    </row>
    <row r="509" spans="1:4" ht="15.75" customHeight="1" x14ac:dyDescent="0.2">
      <c r="A509" s="27">
        <v>22</v>
      </c>
      <c r="B509" s="28">
        <v>8.1</v>
      </c>
      <c r="C509" s="29">
        <v>65.84</v>
      </c>
      <c r="D509" s="27" t="s">
        <v>9</v>
      </c>
    </row>
    <row r="510" spans="1:4" ht="15.75" customHeight="1" x14ac:dyDescent="0.2">
      <c r="A510" s="24">
        <v>42</v>
      </c>
      <c r="B510" s="25">
        <v>5.61</v>
      </c>
      <c r="C510" s="26">
        <v>47.22</v>
      </c>
      <c r="D510" s="24" t="s">
        <v>9</v>
      </c>
    </row>
    <row r="511" spans="1:4" ht="15.75" customHeight="1" x14ac:dyDescent="0.2">
      <c r="A511" s="27">
        <v>25</v>
      </c>
      <c r="B511" s="28">
        <v>5.48</v>
      </c>
      <c r="C511" s="29">
        <v>34.47</v>
      </c>
      <c r="D511" s="27" t="s">
        <v>9</v>
      </c>
    </row>
    <row r="512" spans="1:4" ht="15.75" customHeight="1" x14ac:dyDescent="0.2">
      <c r="A512" s="24">
        <v>10</v>
      </c>
      <c r="B512" s="25">
        <v>4.26</v>
      </c>
      <c r="C512" s="26">
        <v>43.55</v>
      </c>
      <c r="D512" s="24" t="s">
        <v>9</v>
      </c>
    </row>
    <row r="513" spans="1:4" ht="15.75" customHeight="1" x14ac:dyDescent="0.2">
      <c r="A513" s="27">
        <v>26</v>
      </c>
      <c r="B513" s="28">
        <v>9.68</v>
      </c>
      <c r="C513" s="29">
        <v>132.72999999999999</v>
      </c>
      <c r="D513" s="27" t="s">
        <v>9</v>
      </c>
    </row>
    <row r="514" spans="1:4" ht="15.75" customHeight="1" x14ac:dyDescent="0.2">
      <c r="A514" s="24">
        <v>4</v>
      </c>
      <c r="B514" s="25">
        <v>9.86</v>
      </c>
      <c r="C514" s="26">
        <v>72.349999999999994</v>
      </c>
      <c r="D514" s="24" t="s">
        <v>9</v>
      </c>
    </row>
    <row r="515" spans="1:4" ht="15.75" customHeight="1" x14ac:dyDescent="0.2">
      <c r="A515" s="27">
        <v>25</v>
      </c>
      <c r="B515" s="28">
        <v>4.88</v>
      </c>
      <c r="C515" s="29">
        <v>62.64</v>
      </c>
      <c r="D515" s="27" t="s">
        <v>9</v>
      </c>
    </row>
    <row r="516" spans="1:4" ht="15.75" customHeight="1" x14ac:dyDescent="0.2">
      <c r="A516" s="24">
        <v>54</v>
      </c>
      <c r="B516" s="25">
        <v>9.6199999999999992</v>
      </c>
      <c r="C516" s="26">
        <v>67.069999999999993</v>
      </c>
      <c r="D516" s="24" t="s">
        <v>9</v>
      </c>
    </row>
    <row r="517" spans="1:4" ht="15.75" customHeight="1" x14ac:dyDescent="0.2">
      <c r="A517" s="27">
        <v>25</v>
      </c>
      <c r="B517" s="28">
        <v>6.28</v>
      </c>
      <c r="C517" s="29">
        <v>61.5</v>
      </c>
      <c r="D517" s="27" t="s">
        <v>9</v>
      </c>
    </row>
    <row r="518" spans="1:4" ht="15.75" customHeight="1" x14ac:dyDescent="0.2">
      <c r="A518" s="24">
        <v>21</v>
      </c>
      <c r="B518" s="25">
        <v>9.58</v>
      </c>
      <c r="C518" s="26">
        <v>57.83</v>
      </c>
      <c r="D518" s="24" t="s">
        <v>9</v>
      </c>
    </row>
    <row r="519" spans="1:4" ht="15.75" customHeight="1" x14ac:dyDescent="0.2">
      <c r="A519" s="27">
        <v>22</v>
      </c>
      <c r="B519" s="28">
        <v>5.79</v>
      </c>
      <c r="C519" s="29">
        <v>67.23</v>
      </c>
      <c r="D519" s="27" t="s">
        <v>9</v>
      </c>
    </row>
    <row r="520" spans="1:4" ht="15.75" customHeight="1" x14ac:dyDescent="0.2">
      <c r="A520" s="24">
        <v>25</v>
      </c>
      <c r="B520" s="25">
        <v>6.25</v>
      </c>
      <c r="C520" s="26">
        <v>59.23</v>
      </c>
      <c r="D520" s="24" t="s">
        <v>9</v>
      </c>
    </row>
    <row r="521" spans="1:4" ht="15.75" customHeight="1" x14ac:dyDescent="0.2">
      <c r="A521" s="27">
        <v>9</v>
      </c>
      <c r="B521" s="28">
        <v>4.46</v>
      </c>
      <c r="C521" s="29">
        <v>30.81</v>
      </c>
      <c r="D521" s="27" t="s">
        <v>9</v>
      </c>
    </row>
    <row r="522" spans="1:4" ht="15.75" customHeight="1" x14ac:dyDescent="0.2">
      <c r="A522" s="24">
        <v>24</v>
      </c>
      <c r="B522" s="25">
        <v>6.56</v>
      </c>
      <c r="C522" s="26">
        <v>76.7</v>
      </c>
      <c r="D522" s="24" t="s">
        <v>9</v>
      </c>
    </row>
    <row r="523" spans="1:4" ht="15.75" customHeight="1" x14ac:dyDescent="0.2">
      <c r="A523" s="27">
        <v>40</v>
      </c>
      <c r="B523" s="28">
        <v>8.6999999999999993</v>
      </c>
      <c r="C523" s="29">
        <v>66.56</v>
      </c>
      <c r="D523" s="27" t="s">
        <v>9</v>
      </c>
    </row>
    <row r="524" spans="1:4" ht="15.75" customHeight="1" x14ac:dyDescent="0.2">
      <c r="A524" s="24">
        <v>42</v>
      </c>
      <c r="B524" s="25">
        <v>8.68</v>
      </c>
      <c r="C524" s="26">
        <v>42.13</v>
      </c>
      <c r="D524" s="24" t="s">
        <v>9</v>
      </c>
    </row>
    <row r="525" spans="1:4" ht="15.75" customHeight="1" x14ac:dyDescent="0.2">
      <c r="A525" s="27">
        <v>25</v>
      </c>
      <c r="B525" s="28">
        <v>4.78</v>
      </c>
      <c r="C525" s="29">
        <v>67.87</v>
      </c>
      <c r="D525" s="27" t="s">
        <v>9</v>
      </c>
    </row>
    <row r="526" spans="1:4" ht="15.75" customHeight="1" x14ac:dyDescent="0.2">
      <c r="A526" s="24">
        <v>28</v>
      </c>
      <c r="B526" s="25">
        <v>4.3899999999999997</v>
      </c>
      <c r="C526" s="26">
        <v>35.26</v>
      </c>
      <c r="D526" s="24" t="s">
        <v>9</v>
      </c>
    </row>
    <row r="527" spans="1:4" ht="15.75" customHeight="1" x14ac:dyDescent="0.2">
      <c r="A527" s="27">
        <v>7</v>
      </c>
      <c r="B527" s="28">
        <v>5.66</v>
      </c>
      <c r="C527" s="29">
        <v>56.39</v>
      </c>
      <c r="D527" s="27" t="s">
        <v>9</v>
      </c>
    </row>
    <row r="528" spans="1:4" ht="15.75" customHeight="1" x14ac:dyDescent="0.2">
      <c r="A528" s="24">
        <v>27</v>
      </c>
      <c r="B528" s="25">
        <v>6.47</v>
      </c>
      <c r="C528" s="26">
        <v>36.21</v>
      </c>
      <c r="D528" s="24" t="s">
        <v>9</v>
      </c>
    </row>
    <row r="529" spans="1:4" ht="15.75" customHeight="1" x14ac:dyDescent="0.2">
      <c r="A529" s="27">
        <v>32</v>
      </c>
      <c r="B529" s="28">
        <v>7.3</v>
      </c>
      <c r="C529" s="29">
        <v>101.92</v>
      </c>
      <c r="D529" s="27" t="s">
        <v>9</v>
      </c>
    </row>
    <row r="530" spans="1:4" ht="15.75" customHeight="1" x14ac:dyDescent="0.2">
      <c r="A530" s="24">
        <v>21</v>
      </c>
      <c r="B530" s="25">
        <v>6.16</v>
      </c>
      <c r="C530" s="26">
        <v>43.75</v>
      </c>
      <c r="D530" s="24" t="s">
        <v>9</v>
      </c>
    </row>
    <row r="531" spans="1:4" ht="15.75" customHeight="1" x14ac:dyDescent="0.2">
      <c r="A531" s="27">
        <v>44</v>
      </c>
      <c r="B531" s="28">
        <v>5.67</v>
      </c>
      <c r="C531" s="29">
        <v>77.45</v>
      </c>
      <c r="D531" s="27" t="s">
        <v>9</v>
      </c>
    </row>
    <row r="532" spans="1:4" ht="15.75" customHeight="1" x14ac:dyDescent="0.2">
      <c r="A532" s="24">
        <v>2</v>
      </c>
      <c r="B532" s="25">
        <v>5.96</v>
      </c>
      <c r="C532" s="26">
        <v>80.31</v>
      </c>
      <c r="D532" s="24" t="s">
        <v>9</v>
      </c>
    </row>
    <row r="533" spans="1:4" ht="15.75" customHeight="1" x14ac:dyDescent="0.2">
      <c r="A533" s="27">
        <v>20</v>
      </c>
      <c r="B533" s="28">
        <v>7.97</v>
      </c>
      <c r="C533" s="29">
        <v>104.75</v>
      </c>
      <c r="D533" s="27" t="s">
        <v>9</v>
      </c>
    </row>
    <row r="534" spans="1:4" ht="15.75" customHeight="1" x14ac:dyDescent="0.2">
      <c r="A534" s="24">
        <v>10</v>
      </c>
      <c r="B534" s="25">
        <v>8.02</v>
      </c>
      <c r="C534" s="26">
        <v>79.25</v>
      </c>
      <c r="D534" s="24" t="s">
        <v>9</v>
      </c>
    </row>
    <row r="535" spans="1:4" ht="15.75" customHeight="1" x14ac:dyDescent="0.2">
      <c r="A535" s="27">
        <v>14</v>
      </c>
      <c r="B535" s="28">
        <v>6.27</v>
      </c>
      <c r="C535" s="29">
        <v>78.2</v>
      </c>
      <c r="D535" s="27" t="s">
        <v>9</v>
      </c>
    </row>
    <row r="536" spans="1:4" ht="15.75" customHeight="1" x14ac:dyDescent="0.2">
      <c r="A536" s="24">
        <v>9</v>
      </c>
      <c r="B536" s="25">
        <v>8.1199999999999992</v>
      </c>
      <c r="C536" s="26">
        <v>89.07</v>
      </c>
      <c r="D536" s="24" t="s">
        <v>9</v>
      </c>
    </row>
    <row r="537" spans="1:4" ht="15.75" customHeight="1" x14ac:dyDescent="0.2">
      <c r="A537" s="27">
        <v>21</v>
      </c>
      <c r="B537" s="28">
        <v>6.65</v>
      </c>
      <c r="C537" s="29">
        <v>62.98</v>
      </c>
      <c r="D537" s="27" t="s">
        <v>9</v>
      </c>
    </row>
    <row r="538" spans="1:4" ht="15.75" customHeight="1" x14ac:dyDescent="0.2">
      <c r="A538" s="24">
        <v>55</v>
      </c>
      <c r="B538" s="25">
        <v>8.69</v>
      </c>
      <c r="C538" s="26">
        <v>72.78</v>
      </c>
      <c r="D538" s="24" t="s">
        <v>9</v>
      </c>
    </row>
    <row r="539" spans="1:4" ht="15.75" customHeight="1" x14ac:dyDescent="0.2">
      <c r="A539" s="27">
        <v>25</v>
      </c>
      <c r="B539" s="28">
        <v>8.0399999999999991</v>
      </c>
      <c r="C539" s="29">
        <v>110.48</v>
      </c>
      <c r="D539" s="27" t="s">
        <v>9</v>
      </c>
    </row>
    <row r="540" spans="1:4" ht="15.75" customHeight="1" x14ac:dyDescent="0.2">
      <c r="A540" s="24">
        <v>2</v>
      </c>
      <c r="B540" s="25">
        <v>5.0999999999999996</v>
      </c>
      <c r="C540" s="26">
        <v>51</v>
      </c>
      <c r="D540" s="24" t="s">
        <v>9</v>
      </c>
    </row>
    <row r="541" spans="1:4" ht="15.75" customHeight="1" x14ac:dyDescent="0.2">
      <c r="A541" s="27">
        <v>11</v>
      </c>
      <c r="B541" s="28">
        <v>8.19</v>
      </c>
      <c r="C541" s="29">
        <v>77.39</v>
      </c>
      <c r="D541" s="27" t="s">
        <v>9</v>
      </c>
    </row>
    <row r="542" spans="1:4" ht="15.75" customHeight="1" x14ac:dyDescent="0.2">
      <c r="A542" s="24">
        <v>8</v>
      </c>
      <c r="B542" s="25">
        <v>4.87</v>
      </c>
      <c r="C542" s="26">
        <v>53.52</v>
      </c>
      <c r="D542" s="24" t="s">
        <v>9</v>
      </c>
    </row>
    <row r="543" spans="1:4" ht="15.75" customHeight="1" x14ac:dyDescent="0.2">
      <c r="A543" s="27">
        <v>51</v>
      </c>
      <c r="B543" s="28">
        <v>6.46</v>
      </c>
      <c r="C543" s="29">
        <v>69.069999999999993</v>
      </c>
      <c r="D543" s="27" t="s">
        <v>9</v>
      </c>
    </row>
    <row r="544" spans="1:4" ht="15.75" customHeight="1" x14ac:dyDescent="0.2">
      <c r="A544" s="24">
        <v>5</v>
      </c>
      <c r="B544" s="25">
        <v>8.68</v>
      </c>
      <c r="C544" s="26">
        <v>87.01</v>
      </c>
      <c r="D544" s="24" t="s">
        <v>9</v>
      </c>
    </row>
    <row r="545" spans="1:4" ht="15.75" customHeight="1" x14ac:dyDescent="0.2">
      <c r="A545" s="27">
        <v>24</v>
      </c>
      <c r="B545" s="28">
        <v>7.72</v>
      </c>
      <c r="C545" s="29">
        <v>31.75</v>
      </c>
      <c r="D545" s="27" t="s">
        <v>9</v>
      </c>
    </row>
    <row r="546" spans="1:4" ht="15.75" customHeight="1" x14ac:dyDescent="0.2">
      <c r="A546" s="24">
        <v>6</v>
      </c>
      <c r="B546" s="25">
        <v>9.33</v>
      </c>
      <c r="C546" s="26">
        <v>70.38</v>
      </c>
      <c r="D546" s="24" t="s">
        <v>9</v>
      </c>
    </row>
    <row r="547" spans="1:4" ht="15.75" customHeight="1" x14ac:dyDescent="0.2">
      <c r="A547" s="27">
        <v>8</v>
      </c>
      <c r="B547" s="28">
        <v>9.25</v>
      </c>
      <c r="C547" s="29">
        <v>55.73</v>
      </c>
      <c r="D547" s="27" t="s">
        <v>9</v>
      </c>
    </row>
    <row r="548" spans="1:4" ht="15.75" customHeight="1" x14ac:dyDescent="0.2">
      <c r="A548" s="24">
        <v>17</v>
      </c>
      <c r="B548" s="25">
        <v>6.91</v>
      </c>
      <c r="C548" s="26">
        <v>52.93</v>
      </c>
      <c r="D548" s="24" t="s">
        <v>9</v>
      </c>
    </row>
    <row r="549" spans="1:4" ht="15.75" customHeight="1" x14ac:dyDescent="0.2">
      <c r="A549" s="27">
        <v>24</v>
      </c>
      <c r="B549" s="28">
        <v>8.6199999999999992</v>
      </c>
      <c r="C549" s="29">
        <v>59.47</v>
      </c>
      <c r="D549" s="27" t="s">
        <v>9</v>
      </c>
    </row>
    <row r="550" spans="1:4" ht="15.75" customHeight="1" x14ac:dyDescent="0.2">
      <c r="A550" s="24">
        <v>29</v>
      </c>
      <c r="B550" s="25">
        <v>5.88</v>
      </c>
      <c r="C550" s="26">
        <v>51.43</v>
      </c>
      <c r="D550" s="24" t="s">
        <v>9</v>
      </c>
    </row>
    <row r="551" spans="1:4" ht="15.75" customHeight="1" x14ac:dyDescent="0.2">
      <c r="A551" s="27">
        <v>31</v>
      </c>
      <c r="B551" s="28">
        <v>7.3</v>
      </c>
      <c r="C551" s="29">
        <v>63.35</v>
      </c>
      <c r="D551" s="27" t="s">
        <v>9</v>
      </c>
    </row>
    <row r="552" spans="1:4" ht="15.75" customHeight="1" x14ac:dyDescent="0.2">
      <c r="A552" s="24">
        <v>10</v>
      </c>
      <c r="B552" s="25">
        <v>5.93</v>
      </c>
      <c r="C552" s="26">
        <v>44.95</v>
      </c>
      <c r="D552" s="24" t="s">
        <v>9</v>
      </c>
    </row>
    <row r="553" spans="1:4" ht="15.75" customHeight="1" x14ac:dyDescent="0.2">
      <c r="A553" s="27">
        <v>41</v>
      </c>
      <c r="B553" s="28">
        <v>8.19</v>
      </c>
      <c r="C553" s="29">
        <v>70.88</v>
      </c>
      <c r="D553" s="27" t="s">
        <v>9</v>
      </c>
    </row>
    <row r="554" spans="1:4" ht="15.75" customHeight="1" x14ac:dyDescent="0.2">
      <c r="A554" s="24">
        <v>19</v>
      </c>
      <c r="B554" s="25">
        <v>8.7799999999999994</v>
      </c>
      <c r="C554" s="26">
        <v>61.87</v>
      </c>
      <c r="D554" s="24" t="s">
        <v>9</v>
      </c>
    </row>
    <row r="555" spans="1:4" ht="15.75" customHeight="1" x14ac:dyDescent="0.2">
      <c r="A555" s="27">
        <v>5</v>
      </c>
      <c r="B555" s="28">
        <v>7.29</v>
      </c>
      <c r="C555" s="29">
        <v>36.71</v>
      </c>
      <c r="D555" s="27" t="s">
        <v>9</v>
      </c>
    </row>
    <row r="556" spans="1:4" ht="15.75" customHeight="1" x14ac:dyDescent="0.2">
      <c r="A556" s="24">
        <v>49</v>
      </c>
      <c r="B556" s="25">
        <v>7.37</v>
      </c>
      <c r="C556" s="26">
        <v>47.75</v>
      </c>
      <c r="D556" s="24" t="s">
        <v>9</v>
      </c>
    </row>
    <row r="557" spans="1:4" ht="15.75" customHeight="1" x14ac:dyDescent="0.2">
      <c r="A557" s="27">
        <v>31</v>
      </c>
      <c r="B557" s="28">
        <v>9</v>
      </c>
      <c r="C557" s="29">
        <v>60.12</v>
      </c>
      <c r="D557" s="27" t="s">
        <v>9</v>
      </c>
    </row>
    <row r="558" spans="1:4" ht="15.75" customHeight="1" x14ac:dyDescent="0.2">
      <c r="A558" s="24">
        <v>21</v>
      </c>
      <c r="B558" s="25">
        <v>9.5299999999999994</v>
      </c>
      <c r="C558" s="26">
        <v>57.6</v>
      </c>
      <c r="D558" s="24" t="s">
        <v>9</v>
      </c>
    </row>
    <row r="559" spans="1:4" ht="15.75" customHeight="1" x14ac:dyDescent="0.2">
      <c r="A559" s="27">
        <v>10</v>
      </c>
      <c r="B559" s="28">
        <v>9.85</v>
      </c>
      <c r="C559" s="29">
        <v>42.98</v>
      </c>
      <c r="D559" s="27" t="s">
        <v>9</v>
      </c>
    </row>
    <row r="560" spans="1:4" ht="15.75" customHeight="1" x14ac:dyDescent="0.2">
      <c r="A560" s="24">
        <v>16</v>
      </c>
      <c r="B560" s="25">
        <v>8.74</v>
      </c>
      <c r="C560" s="26">
        <v>83.38</v>
      </c>
      <c r="D560" s="24" t="s">
        <v>9</v>
      </c>
    </row>
    <row r="561" spans="1:4" ht="15.75" customHeight="1" x14ac:dyDescent="0.2">
      <c r="A561" s="27">
        <v>5</v>
      </c>
      <c r="B561" s="28">
        <v>5.73</v>
      </c>
      <c r="C561" s="29">
        <v>71.98</v>
      </c>
      <c r="D561" s="27" t="s">
        <v>9</v>
      </c>
    </row>
    <row r="562" spans="1:4" ht="15.75" customHeight="1" x14ac:dyDescent="0.2">
      <c r="A562" s="24">
        <v>29</v>
      </c>
      <c r="B562" s="25">
        <v>2.67</v>
      </c>
      <c r="C562" s="26">
        <v>25.28</v>
      </c>
      <c r="D562" s="24" t="s">
        <v>9</v>
      </c>
    </row>
    <row r="563" spans="1:4" ht="15.75" customHeight="1" x14ac:dyDescent="0.2">
      <c r="A563" s="27">
        <v>12</v>
      </c>
      <c r="B563" s="28">
        <v>2.4</v>
      </c>
      <c r="C563" s="29">
        <v>31.1</v>
      </c>
      <c r="D563" s="27" t="s">
        <v>9</v>
      </c>
    </row>
    <row r="564" spans="1:4" ht="15.75" customHeight="1" x14ac:dyDescent="0.2">
      <c r="A564" s="24">
        <v>34</v>
      </c>
      <c r="B564" s="25">
        <v>2</v>
      </c>
      <c r="C564" s="26">
        <v>19.010000000000002</v>
      </c>
      <c r="D564" s="24" t="s">
        <v>9</v>
      </c>
    </row>
    <row r="565" spans="1:4" ht="15.75" customHeight="1" x14ac:dyDescent="0.2">
      <c r="A565" s="27">
        <v>49</v>
      </c>
      <c r="B565" s="28">
        <v>4</v>
      </c>
      <c r="C565" s="29">
        <v>21.99</v>
      </c>
      <c r="D565" s="27" t="s">
        <v>9</v>
      </c>
    </row>
    <row r="566" spans="1:4" ht="15.75" customHeight="1" x14ac:dyDescent="0.2">
      <c r="A566" s="24">
        <v>43</v>
      </c>
      <c r="B566" s="25">
        <v>4</v>
      </c>
      <c r="C566" s="26">
        <v>18.28</v>
      </c>
      <c r="D566" s="24" t="s">
        <v>9</v>
      </c>
    </row>
    <row r="567" spans="1:4" ht="15.75" customHeight="1" x14ac:dyDescent="0.2">
      <c r="A567" s="27">
        <v>6</v>
      </c>
      <c r="B567" s="28">
        <v>2.5</v>
      </c>
      <c r="C567" s="29">
        <v>38.9</v>
      </c>
      <c r="D567" s="27" t="s">
        <v>9</v>
      </c>
    </row>
    <row r="568" spans="1:4" ht="15.75" customHeight="1" x14ac:dyDescent="0.2">
      <c r="A568" s="24">
        <v>9</v>
      </c>
      <c r="B568" s="25">
        <v>3.5</v>
      </c>
      <c r="C568" s="26">
        <v>51.98</v>
      </c>
      <c r="D568" s="24" t="s">
        <v>9</v>
      </c>
    </row>
    <row r="569" spans="1:4" ht="15.75" customHeight="1" x14ac:dyDescent="0.2">
      <c r="A569" s="27">
        <v>37</v>
      </c>
      <c r="B569" s="28">
        <v>2.2999999999999998</v>
      </c>
      <c r="C569" s="29">
        <v>39.54</v>
      </c>
      <c r="D569" s="27" t="s">
        <v>9</v>
      </c>
    </row>
    <row r="570" spans="1:4" ht="15.75" customHeight="1" x14ac:dyDescent="0.2">
      <c r="A570" s="24">
        <v>20</v>
      </c>
      <c r="B570" s="25">
        <v>3</v>
      </c>
      <c r="C570" s="26">
        <v>30.68</v>
      </c>
      <c r="D570" s="24" t="s">
        <v>9</v>
      </c>
    </row>
    <row r="571" spans="1:4" ht="15.75" customHeight="1" x14ac:dyDescent="0.2">
      <c r="A571" s="27">
        <v>26</v>
      </c>
      <c r="B571" s="28">
        <v>2.6</v>
      </c>
      <c r="C571" s="29">
        <v>43.26</v>
      </c>
      <c r="D571" s="27" t="s">
        <v>9</v>
      </c>
    </row>
    <row r="572" spans="1:4" ht="15.75" customHeight="1" x14ac:dyDescent="0.2">
      <c r="A572" s="24">
        <v>13</v>
      </c>
      <c r="B572" s="25">
        <v>2.2999999999999998</v>
      </c>
      <c r="C572" s="26">
        <v>14</v>
      </c>
      <c r="D572" s="24" t="s">
        <v>9</v>
      </c>
    </row>
    <row r="573" spans="1:4" ht="15.75" customHeight="1" x14ac:dyDescent="0.2">
      <c r="A573" s="27">
        <v>30</v>
      </c>
      <c r="B573" s="28">
        <v>2</v>
      </c>
      <c r="C573" s="29">
        <v>32.700000000000003</v>
      </c>
      <c r="D573" s="27" t="s">
        <v>9</v>
      </c>
    </row>
    <row r="574" spans="1:4" ht="15.75" customHeight="1" x14ac:dyDescent="0.2">
      <c r="A574" s="24">
        <v>2</v>
      </c>
      <c r="B574" s="25">
        <v>3.3</v>
      </c>
      <c r="C574" s="26">
        <v>33.03</v>
      </c>
      <c r="D574" s="24" t="s">
        <v>9</v>
      </c>
    </row>
    <row r="575" spans="1:4" ht="15.75" customHeight="1" x14ac:dyDescent="0.2">
      <c r="A575" s="27">
        <v>1</v>
      </c>
      <c r="B575" s="28">
        <v>1.8</v>
      </c>
      <c r="C575" s="29">
        <v>31.37</v>
      </c>
      <c r="D575" s="27" t="s">
        <v>9</v>
      </c>
    </row>
    <row r="576" spans="1:4" ht="15.75" customHeight="1" x14ac:dyDescent="0.2">
      <c r="A576" s="24">
        <v>14</v>
      </c>
      <c r="B576" s="25">
        <v>1.5</v>
      </c>
      <c r="C576" s="26">
        <v>34.97</v>
      </c>
      <c r="D576" s="24" t="s">
        <v>9</v>
      </c>
    </row>
    <row r="577" spans="1:4" ht="15.75" customHeight="1" x14ac:dyDescent="0.2">
      <c r="A577" s="27">
        <v>16</v>
      </c>
      <c r="B577" s="28">
        <v>2.8</v>
      </c>
      <c r="C577" s="29">
        <v>63</v>
      </c>
      <c r="D577" s="27" t="s">
        <v>9</v>
      </c>
    </row>
    <row r="578" spans="1:4" ht="15.75" customHeight="1" x14ac:dyDescent="0.2">
      <c r="A578" s="24">
        <v>9</v>
      </c>
      <c r="B578" s="25">
        <v>2.2999999999999998</v>
      </c>
      <c r="C578" s="26">
        <v>51.99</v>
      </c>
      <c r="D578" s="24" t="s">
        <v>9</v>
      </c>
    </row>
    <row r="579" spans="1:4" ht="15.75" customHeight="1" x14ac:dyDescent="0.2">
      <c r="A579" s="27">
        <v>6</v>
      </c>
      <c r="B579" s="28">
        <v>1.8</v>
      </c>
      <c r="C579" s="29">
        <v>67.260000000000005</v>
      </c>
      <c r="D579" s="27" t="s">
        <v>9</v>
      </c>
    </row>
    <row r="580" spans="1:4" ht="15.75" customHeight="1" x14ac:dyDescent="0.2">
      <c r="A580" s="24">
        <v>38</v>
      </c>
      <c r="B580" s="25">
        <v>3.6</v>
      </c>
      <c r="C580" s="26">
        <v>48.57</v>
      </c>
      <c r="D580" s="24" t="s">
        <v>9</v>
      </c>
    </row>
    <row r="581" spans="1:4" ht="15.75" customHeight="1" x14ac:dyDescent="0.2">
      <c r="A581" s="27">
        <v>25</v>
      </c>
      <c r="B581" s="28">
        <v>2.4</v>
      </c>
      <c r="C581" s="29">
        <v>48.14</v>
      </c>
      <c r="D581" s="27" t="s">
        <v>9</v>
      </c>
    </row>
    <row r="582" spans="1:4" ht="15.75" customHeight="1" x14ac:dyDescent="0.2">
      <c r="A582" s="24">
        <v>12</v>
      </c>
      <c r="B582" s="25">
        <v>3.7</v>
      </c>
      <c r="C582" s="26">
        <v>34.53</v>
      </c>
      <c r="D582" s="24" t="s">
        <v>9</v>
      </c>
    </row>
    <row r="583" spans="1:4" ht="15.75" customHeight="1" x14ac:dyDescent="0.2">
      <c r="A583" s="27">
        <v>7</v>
      </c>
      <c r="B583" s="28">
        <v>3.9</v>
      </c>
      <c r="C583" s="29">
        <v>11.95</v>
      </c>
      <c r="D583" s="27" t="s">
        <v>9</v>
      </c>
    </row>
    <row r="584" spans="1:4" ht="15.75" customHeight="1" x14ac:dyDescent="0.2">
      <c r="A584" s="24">
        <v>57</v>
      </c>
      <c r="B584" s="25">
        <v>2.7</v>
      </c>
      <c r="C584" s="26">
        <v>16.579999999999998</v>
      </c>
      <c r="D584" s="24" t="s">
        <v>9</v>
      </c>
    </row>
    <row r="585" spans="1:4" ht="15.75" customHeight="1" x14ac:dyDescent="0.2">
      <c r="A585" s="27">
        <v>19</v>
      </c>
      <c r="B585" s="28">
        <v>3.8</v>
      </c>
      <c r="C585" s="29">
        <v>50.34</v>
      </c>
      <c r="D585" s="27" t="s">
        <v>9</v>
      </c>
    </row>
    <row r="586" spans="1:4" ht="15.75" customHeight="1" x14ac:dyDescent="0.2">
      <c r="A586" s="24">
        <v>25</v>
      </c>
      <c r="B586" s="25">
        <v>3.8</v>
      </c>
      <c r="C586" s="26">
        <v>44.87</v>
      </c>
      <c r="D586" s="24" t="s">
        <v>9</v>
      </c>
    </row>
    <row r="587" spans="1:4" ht="15.75" customHeight="1" x14ac:dyDescent="0.2">
      <c r="A587" s="27">
        <v>26</v>
      </c>
      <c r="B587" s="28">
        <v>3.2</v>
      </c>
      <c r="C587" s="29">
        <v>6.97</v>
      </c>
      <c r="D587" s="27" t="s">
        <v>9</v>
      </c>
    </row>
    <row r="588" spans="1:4" ht="15.75" customHeight="1" x14ac:dyDescent="0.2">
      <c r="A588" s="24">
        <v>47</v>
      </c>
      <c r="B588" s="25">
        <v>3.6</v>
      </c>
      <c r="C588" s="26">
        <v>30.33</v>
      </c>
      <c r="D588" s="24" t="s">
        <v>9</v>
      </c>
    </row>
    <row r="589" spans="1:4" ht="15.75" customHeight="1" x14ac:dyDescent="0.2">
      <c r="A589" s="27">
        <v>18</v>
      </c>
      <c r="B589" s="28">
        <v>2.6</v>
      </c>
      <c r="C589" s="29">
        <v>42.51</v>
      </c>
      <c r="D589" s="27" t="s">
        <v>9</v>
      </c>
    </row>
    <row r="590" spans="1:4" ht="15.75" customHeight="1" x14ac:dyDescent="0.2">
      <c r="A590" s="24">
        <v>17</v>
      </c>
      <c r="B590" s="25">
        <v>2</v>
      </c>
      <c r="C590" s="26">
        <v>29.17</v>
      </c>
      <c r="D590" s="24" t="s">
        <v>9</v>
      </c>
    </row>
    <row r="591" spans="1:4" ht="15.75" customHeight="1" x14ac:dyDescent="0.2">
      <c r="A591" s="27">
        <v>19</v>
      </c>
      <c r="B591" s="28">
        <v>2.9</v>
      </c>
      <c r="C591" s="29">
        <v>31.65</v>
      </c>
      <c r="D591" s="27" t="s">
        <v>9</v>
      </c>
    </row>
    <row r="592" spans="1:4" ht="15.75" customHeight="1" x14ac:dyDescent="0.2">
      <c r="A592" s="24">
        <v>39</v>
      </c>
      <c r="B592" s="25">
        <v>3</v>
      </c>
      <c r="C592" s="26">
        <v>58.89</v>
      </c>
      <c r="D592" s="24" t="s">
        <v>9</v>
      </c>
    </row>
    <row r="593" spans="1:4" ht="15.75" customHeight="1" x14ac:dyDescent="0.2">
      <c r="A593" s="27">
        <v>11</v>
      </c>
      <c r="B593" s="28">
        <v>3.5</v>
      </c>
      <c r="C593" s="29">
        <v>22.47</v>
      </c>
      <c r="D593" s="27" t="s">
        <v>9</v>
      </c>
    </row>
    <row r="594" spans="1:4" ht="15.75" customHeight="1" x14ac:dyDescent="0.2">
      <c r="A594" s="24">
        <v>15</v>
      </c>
      <c r="B594" s="25">
        <v>2.6</v>
      </c>
      <c r="C594" s="26">
        <v>9.8000000000000007</v>
      </c>
      <c r="D594" s="24" t="s">
        <v>9</v>
      </c>
    </row>
    <row r="595" spans="1:4" ht="15.75" customHeight="1" x14ac:dyDescent="0.2">
      <c r="A595" s="27">
        <v>21</v>
      </c>
      <c r="B595" s="28">
        <v>1.5</v>
      </c>
      <c r="C595" s="29">
        <v>23.33</v>
      </c>
      <c r="D595" s="27" t="s">
        <v>9</v>
      </c>
    </row>
    <row r="596" spans="1:4" ht="15.75" customHeight="1" x14ac:dyDescent="0.2">
      <c r="A596" s="24">
        <v>19</v>
      </c>
      <c r="B596" s="25">
        <v>3.8</v>
      </c>
      <c r="C596" s="26">
        <v>23.5</v>
      </c>
      <c r="D596" s="24" t="s">
        <v>9</v>
      </c>
    </row>
    <row r="597" spans="1:4" ht="15.75" customHeight="1" x14ac:dyDescent="0.2">
      <c r="A597" s="27">
        <v>25</v>
      </c>
      <c r="B597" s="28">
        <v>4</v>
      </c>
      <c r="C597" s="29">
        <v>18.52</v>
      </c>
      <c r="D597" s="27" t="s">
        <v>9</v>
      </c>
    </row>
    <row r="598" spans="1:4" ht="15.75" customHeight="1" x14ac:dyDescent="0.2">
      <c r="A598" s="24">
        <v>42</v>
      </c>
      <c r="B598" s="25">
        <v>3.3</v>
      </c>
      <c r="C598" s="26">
        <v>41.24</v>
      </c>
      <c r="D598" s="24" t="s">
        <v>9</v>
      </c>
    </row>
    <row r="599" spans="1:4" ht="15.75" customHeight="1" x14ac:dyDescent="0.2">
      <c r="A599" s="27">
        <v>37</v>
      </c>
      <c r="B599" s="28">
        <v>3.3</v>
      </c>
      <c r="C599" s="29">
        <v>43.28</v>
      </c>
      <c r="D599" s="27" t="s">
        <v>9</v>
      </c>
    </row>
    <row r="600" spans="1:4" ht="15.75" customHeight="1" x14ac:dyDescent="0.2">
      <c r="A600" s="24">
        <v>36</v>
      </c>
      <c r="B600" s="25">
        <v>1.9</v>
      </c>
      <c r="C600" s="26">
        <v>28.32</v>
      </c>
      <c r="D600" s="24" t="s">
        <v>9</v>
      </c>
    </row>
    <row r="601" spans="1:4" ht="15.75" customHeight="1" x14ac:dyDescent="0.2">
      <c r="A601" s="27">
        <v>29</v>
      </c>
      <c r="B601" s="28">
        <v>2.9</v>
      </c>
      <c r="C601" s="29">
        <v>26.05</v>
      </c>
      <c r="D601" s="27" t="s">
        <v>9</v>
      </c>
    </row>
    <row r="602" spans="1:4" ht="15.75" customHeight="1" x14ac:dyDescent="0.2">
      <c r="A602" s="24">
        <v>12</v>
      </c>
      <c r="B602" s="25">
        <v>3.9</v>
      </c>
      <c r="C602" s="26">
        <v>50.93</v>
      </c>
      <c r="D602" s="24" t="s">
        <v>9</v>
      </c>
    </row>
    <row r="603" spans="1:4" ht="15.75" customHeight="1" x14ac:dyDescent="0.2">
      <c r="A603" s="27">
        <v>9</v>
      </c>
      <c r="B603" s="28">
        <v>2.1</v>
      </c>
      <c r="C603" s="29">
        <v>22.59</v>
      </c>
      <c r="D603" s="27" t="s">
        <v>9</v>
      </c>
    </row>
    <row r="604" spans="1:4" ht="15.75" customHeight="1" x14ac:dyDescent="0.2">
      <c r="A604" s="24">
        <v>44</v>
      </c>
      <c r="B604" s="25">
        <v>3.3</v>
      </c>
      <c r="C604" s="26">
        <v>35.11</v>
      </c>
      <c r="D604" s="24" t="s">
        <v>9</v>
      </c>
    </row>
    <row r="605" spans="1:4" ht="15.75" customHeight="1" x14ac:dyDescent="0.2">
      <c r="A605" s="27">
        <v>23</v>
      </c>
      <c r="B605" s="28">
        <v>2.8</v>
      </c>
      <c r="C605" s="29">
        <v>11.14</v>
      </c>
      <c r="D605" s="27" t="s">
        <v>9</v>
      </c>
    </row>
    <row r="606" spans="1:4" ht="15.75" customHeight="1" x14ac:dyDescent="0.2">
      <c r="A606" s="24">
        <v>39</v>
      </c>
      <c r="B606" s="25">
        <v>2.1</v>
      </c>
      <c r="C606" s="26">
        <v>43.17</v>
      </c>
      <c r="D606" s="24" t="s">
        <v>9</v>
      </c>
    </row>
    <row r="607" spans="1:4" ht="15.75" customHeight="1" x14ac:dyDescent="0.2">
      <c r="A607" s="27">
        <v>30</v>
      </c>
      <c r="B607" s="28">
        <v>3.7</v>
      </c>
      <c r="C607" s="29">
        <v>12.65</v>
      </c>
      <c r="D607" s="27" t="s">
        <v>9</v>
      </c>
    </row>
    <row r="608" spans="1:4" ht="15.75" customHeight="1" x14ac:dyDescent="0.2">
      <c r="A608" s="24">
        <v>14</v>
      </c>
      <c r="B608" s="25">
        <v>3.9</v>
      </c>
      <c r="C608" s="26">
        <v>27.84</v>
      </c>
      <c r="D608" s="24" t="s">
        <v>9</v>
      </c>
    </row>
    <row r="609" spans="1:4" ht="15.75" customHeight="1" x14ac:dyDescent="0.2">
      <c r="A609" s="27">
        <v>27</v>
      </c>
      <c r="B609" s="28">
        <v>1.6</v>
      </c>
      <c r="C609" s="29">
        <v>38.61</v>
      </c>
      <c r="D609" s="27" t="s">
        <v>9</v>
      </c>
    </row>
    <row r="610" spans="1:4" ht="15.75" customHeight="1" x14ac:dyDescent="0.2">
      <c r="A610" s="24">
        <v>50</v>
      </c>
      <c r="B610" s="25">
        <v>1.7</v>
      </c>
      <c r="C610" s="26">
        <v>17.32</v>
      </c>
      <c r="D610" s="24" t="s">
        <v>9</v>
      </c>
    </row>
    <row r="611" spans="1:4" ht="15.75" customHeight="1" x14ac:dyDescent="0.2">
      <c r="A611" s="27">
        <v>5</v>
      </c>
      <c r="B611" s="28">
        <v>1.5</v>
      </c>
      <c r="C611" s="29">
        <v>22.81</v>
      </c>
      <c r="D611" s="27" t="s">
        <v>9</v>
      </c>
    </row>
    <row r="612" spans="1:4" ht="15.75" customHeight="1" x14ac:dyDescent="0.2">
      <c r="A612" s="24">
        <v>36</v>
      </c>
      <c r="B612" s="25">
        <v>11.3</v>
      </c>
      <c r="C612" s="26">
        <v>87.75</v>
      </c>
      <c r="D612" s="24" t="s">
        <v>9</v>
      </c>
    </row>
    <row r="613" spans="1:4" ht="15.75" customHeight="1" x14ac:dyDescent="0.2">
      <c r="A613" s="27">
        <v>3</v>
      </c>
      <c r="B613" s="28">
        <v>12</v>
      </c>
      <c r="C613" s="29">
        <v>95.73</v>
      </c>
      <c r="D613" s="27" t="s">
        <v>9</v>
      </c>
    </row>
    <row r="614" spans="1:4" ht="15.75" customHeight="1" x14ac:dyDescent="0.2">
      <c r="A614" s="24">
        <v>25</v>
      </c>
      <c r="B614" s="25">
        <v>12.5</v>
      </c>
      <c r="C614" s="26">
        <v>110.81</v>
      </c>
      <c r="D614" s="24" t="s">
        <v>9</v>
      </c>
    </row>
    <row r="615" spans="1:4" ht="15.75" customHeight="1" x14ac:dyDescent="0.2">
      <c r="A615" s="27">
        <v>15</v>
      </c>
      <c r="B615" s="28">
        <v>12.6</v>
      </c>
      <c r="C615" s="29">
        <v>120.86</v>
      </c>
      <c r="D615" s="27" t="s">
        <v>9</v>
      </c>
    </row>
    <row r="616" spans="1:4" ht="15.75" customHeight="1" x14ac:dyDescent="0.2">
      <c r="A616" s="24">
        <v>13</v>
      </c>
      <c r="B616" s="25">
        <v>10.6</v>
      </c>
      <c r="C616" s="26">
        <v>51.82</v>
      </c>
      <c r="D616" s="24" t="s">
        <v>9</v>
      </c>
    </row>
    <row r="617" spans="1:4" ht="15.75" customHeight="1" x14ac:dyDescent="0.2">
      <c r="A617" s="27">
        <v>22</v>
      </c>
      <c r="B617" s="28">
        <v>12.7</v>
      </c>
      <c r="C617" s="29">
        <v>88.57</v>
      </c>
      <c r="D617" s="27" t="s">
        <v>9</v>
      </c>
    </row>
    <row r="618" spans="1:4" ht="15.75" customHeight="1" x14ac:dyDescent="0.2">
      <c r="A618" s="24">
        <v>22</v>
      </c>
      <c r="B618" s="25">
        <v>10.7</v>
      </c>
      <c r="C618" s="26">
        <v>82.02</v>
      </c>
      <c r="D618" s="24" t="s">
        <v>9</v>
      </c>
    </row>
    <row r="619" spans="1:4" ht="15.75" customHeight="1" x14ac:dyDescent="0.2">
      <c r="A619" s="27">
        <v>39</v>
      </c>
      <c r="B619" s="28">
        <v>12.5</v>
      </c>
      <c r="C619" s="29">
        <v>105.61</v>
      </c>
      <c r="D619" s="27" t="s">
        <v>9</v>
      </c>
    </row>
    <row r="620" spans="1:4" ht="15.75" customHeight="1" x14ac:dyDescent="0.2">
      <c r="A620" s="24">
        <v>23</v>
      </c>
      <c r="B620" s="25">
        <v>12.1</v>
      </c>
      <c r="C620" s="26">
        <v>83.86</v>
      </c>
      <c r="D620" s="24" t="s">
        <v>9</v>
      </c>
    </row>
    <row r="621" spans="1:4" ht="15.75" customHeight="1" x14ac:dyDescent="0.2">
      <c r="A621" s="27">
        <v>46</v>
      </c>
      <c r="B621" s="28">
        <v>12.2</v>
      </c>
      <c r="C621" s="29">
        <v>90.89</v>
      </c>
      <c r="D621" s="27" t="s">
        <v>9</v>
      </c>
    </row>
    <row r="622" spans="1:4" ht="15.75" customHeight="1" x14ac:dyDescent="0.2">
      <c r="A622" s="24">
        <v>19</v>
      </c>
      <c r="B622" s="25">
        <v>12.7</v>
      </c>
      <c r="C622" s="26">
        <v>89.68</v>
      </c>
      <c r="D622" s="24" t="s">
        <v>9</v>
      </c>
    </row>
    <row r="623" spans="1:4" ht="15.75" customHeight="1" x14ac:dyDescent="0.2">
      <c r="A623" s="27">
        <v>4</v>
      </c>
      <c r="B623" s="28">
        <v>10.4</v>
      </c>
      <c r="C623" s="29">
        <v>103.09</v>
      </c>
      <c r="D623" s="27" t="s">
        <v>9</v>
      </c>
    </row>
    <row r="624" spans="1:4" ht="15.75" customHeight="1" x14ac:dyDescent="0.2">
      <c r="A624" s="24">
        <v>26</v>
      </c>
      <c r="B624" s="25">
        <v>11.8</v>
      </c>
      <c r="C624" s="26">
        <v>105.6</v>
      </c>
      <c r="D624" s="24" t="s">
        <v>9</v>
      </c>
    </row>
    <row r="625" spans="1:4" ht="15.75" customHeight="1" x14ac:dyDescent="0.2">
      <c r="A625" s="27">
        <v>22</v>
      </c>
      <c r="B625" s="28">
        <v>11.3</v>
      </c>
      <c r="C625" s="29">
        <v>99.6</v>
      </c>
      <c r="D625" s="27" t="s">
        <v>9</v>
      </c>
    </row>
    <row r="626" spans="1:4" ht="15.75" customHeight="1" x14ac:dyDescent="0.2">
      <c r="A626" s="24">
        <v>20</v>
      </c>
      <c r="B626" s="25">
        <v>11.9</v>
      </c>
      <c r="C626" s="26">
        <v>95.17</v>
      </c>
      <c r="D626" s="24" t="s">
        <v>9</v>
      </c>
    </row>
    <row r="627" spans="1:4" ht="15.75" customHeight="1" x14ac:dyDescent="0.2">
      <c r="A627" s="27">
        <v>29</v>
      </c>
      <c r="B627" s="28">
        <v>12.2</v>
      </c>
      <c r="C627" s="29">
        <v>57.01</v>
      </c>
      <c r="D627" s="27" t="s">
        <v>9</v>
      </c>
    </row>
    <row r="628" spans="1:4" ht="15.75" customHeight="1" x14ac:dyDescent="0.2">
      <c r="A628" s="24">
        <v>45</v>
      </c>
      <c r="B628" s="25">
        <v>11.8</v>
      </c>
      <c r="C628" s="26">
        <v>78.2</v>
      </c>
      <c r="D628" s="24" t="s">
        <v>9</v>
      </c>
    </row>
    <row r="629" spans="1:4" ht="15.75" customHeight="1" x14ac:dyDescent="0.2">
      <c r="A629" s="27">
        <v>28</v>
      </c>
      <c r="B629" s="28">
        <v>12.3</v>
      </c>
      <c r="C629" s="29">
        <v>103.88</v>
      </c>
      <c r="D629" s="27" t="s">
        <v>9</v>
      </c>
    </row>
    <row r="630" spans="1:4" ht="15.75" customHeight="1" x14ac:dyDescent="0.2">
      <c r="A630" s="24">
        <v>25</v>
      </c>
      <c r="B630" s="25">
        <v>12</v>
      </c>
      <c r="C630" s="26">
        <v>83.21</v>
      </c>
      <c r="D630" s="24" t="s">
        <v>9</v>
      </c>
    </row>
    <row r="631" spans="1:4" ht="15.75" customHeight="1" x14ac:dyDescent="0.2">
      <c r="A631" s="27">
        <v>33</v>
      </c>
      <c r="B631" s="28">
        <v>11.9</v>
      </c>
      <c r="C631" s="29">
        <v>114.96</v>
      </c>
      <c r="D631" s="27" t="s">
        <v>9</v>
      </c>
    </row>
    <row r="632" spans="1:4" ht="15.75" customHeight="1" x14ac:dyDescent="0.2">
      <c r="A632" s="24">
        <v>16</v>
      </c>
      <c r="B632" s="25">
        <v>11.9</v>
      </c>
      <c r="C632" s="26">
        <v>79.23</v>
      </c>
      <c r="D632" s="24" t="s">
        <v>9</v>
      </c>
    </row>
    <row r="633" spans="1:4" ht="15.75" customHeight="1" x14ac:dyDescent="0.2">
      <c r="A633" s="27">
        <v>17</v>
      </c>
      <c r="B633" s="28">
        <v>10.199999999999999</v>
      </c>
      <c r="C633" s="29">
        <v>45.79</v>
      </c>
      <c r="D633" s="27" t="s">
        <v>9</v>
      </c>
    </row>
    <row r="634" spans="1:4" ht="15.75" customHeight="1" x14ac:dyDescent="0.2">
      <c r="A634" s="24">
        <v>27</v>
      </c>
      <c r="B634" s="25">
        <v>11.4</v>
      </c>
      <c r="C634" s="26">
        <v>56.37</v>
      </c>
      <c r="D634" s="24" t="s">
        <v>9</v>
      </c>
    </row>
    <row r="635" spans="1:4" ht="15.75" customHeight="1" x14ac:dyDescent="0.2">
      <c r="A635" s="27">
        <v>36</v>
      </c>
      <c r="B635" s="28">
        <v>12.8</v>
      </c>
      <c r="C635" s="29">
        <v>91.79</v>
      </c>
      <c r="D635" s="27" t="s">
        <v>9</v>
      </c>
    </row>
    <row r="636" spans="1:4" ht="15.75" customHeight="1" x14ac:dyDescent="0.2">
      <c r="A636" s="24">
        <v>21</v>
      </c>
      <c r="B636" s="25">
        <v>10.6</v>
      </c>
      <c r="C636" s="26">
        <v>85.37</v>
      </c>
      <c r="D636" s="24" t="s">
        <v>9</v>
      </c>
    </row>
    <row r="637" spans="1:4" ht="15.75" customHeight="1" x14ac:dyDescent="0.2">
      <c r="A637" s="27">
        <v>22</v>
      </c>
      <c r="B637" s="28">
        <v>12.4</v>
      </c>
      <c r="C637" s="29">
        <v>96.74</v>
      </c>
      <c r="D637" s="27" t="s">
        <v>9</v>
      </c>
    </row>
    <row r="638" spans="1:4" ht="15.75" customHeight="1" x14ac:dyDescent="0.2">
      <c r="A638" s="24">
        <v>17</v>
      </c>
      <c r="B638" s="25">
        <v>10</v>
      </c>
      <c r="C638" s="26">
        <v>88.16</v>
      </c>
      <c r="D638" s="24" t="s">
        <v>9</v>
      </c>
    </row>
    <row r="639" spans="1:4" ht="15.75" customHeight="1" x14ac:dyDescent="0.2">
      <c r="A639" s="27">
        <v>35</v>
      </c>
      <c r="B639" s="28">
        <v>12.4</v>
      </c>
      <c r="C639" s="29">
        <v>109.42</v>
      </c>
      <c r="D639" s="27" t="s">
        <v>9</v>
      </c>
    </row>
    <row r="640" spans="1:4" ht="15.75" customHeight="1" x14ac:dyDescent="0.2">
      <c r="A640" s="24">
        <v>23</v>
      </c>
      <c r="B640" s="25">
        <v>11.8</v>
      </c>
      <c r="C640" s="26">
        <v>74.97</v>
      </c>
      <c r="D640" s="24" t="s">
        <v>9</v>
      </c>
    </row>
    <row r="641" spans="1:4" ht="15.75" customHeight="1" x14ac:dyDescent="0.2">
      <c r="A641" s="27">
        <v>18</v>
      </c>
      <c r="B641" s="28">
        <v>11.1</v>
      </c>
      <c r="C641" s="29">
        <v>100.82</v>
      </c>
      <c r="D641" s="27" t="s">
        <v>9</v>
      </c>
    </row>
    <row r="642" spans="1:4" ht="15.75" customHeight="1" x14ac:dyDescent="0.2">
      <c r="A642" s="24">
        <v>33</v>
      </c>
      <c r="B642" s="25">
        <v>11</v>
      </c>
      <c r="C642" s="26">
        <v>63.32</v>
      </c>
      <c r="D642" s="24" t="s">
        <v>9</v>
      </c>
    </row>
    <row r="643" spans="1:4" ht="15.75" customHeight="1" x14ac:dyDescent="0.2">
      <c r="A643" s="27">
        <v>27</v>
      </c>
      <c r="B643" s="28">
        <v>11.3</v>
      </c>
      <c r="C643" s="29">
        <v>92.43</v>
      </c>
      <c r="D643" s="27" t="s">
        <v>9</v>
      </c>
    </row>
    <row r="644" spans="1:4" ht="15.75" customHeight="1" x14ac:dyDescent="0.2">
      <c r="A644" s="24">
        <v>30</v>
      </c>
      <c r="B644" s="25">
        <v>12.1</v>
      </c>
      <c r="C644" s="26">
        <v>92.08</v>
      </c>
      <c r="D644" s="24" t="s">
        <v>9</v>
      </c>
    </row>
    <row r="645" spans="1:4" ht="15.75" customHeight="1" x14ac:dyDescent="0.2">
      <c r="A645" s="27">
        <v>41</v>
      </c>
      <c r="B645" s="28">
        <v>11.7</v>
      </c>
      <c r="C645" s="29">
        <v>93.63</v>
      </c>
      <c r="D645" s="27" t="s">
        <v>9</v>
      </c>
    </row>
    <row r="646" spans="1:4" ht="15.75" customHeight="1" x14ac:dyDescent="0.2">
      <c r="A646" s="24">
        <v>26</v>
      </c>
      <c r="B646" s="25">
        <v>10</v>
      </c>
      <c r="C646" s="26">
        <v>98.34</v>
      </c>
      <c r="D646" s="24" t="s">
        <v>9</v>
      </c>
    </row>
    <row r="647" spans="1:4" ht="15.75" customHeight="1" x14ac:dyDescent="0.2">
      <c r="A647" s="27">
        <v>17</v>
      </c>
      <c r="B647" s="28">
        <v>10.1</v>
      </c>
      <c r="C647" s="29">
        <v>87.63</v>
      </c>
      <c r="D647" s="27" t="s">
        <v>9</v>
      </c>
    </row>
    <row r="648" spans="1:4" ht="15.75" customHeight="1" x14ac:dyDescent="0.2">
      <c r="A648" s="24">
        <v>10</v>
      </c>
      <c r="B648" s="25">
        <v>11.6</v>
      </c>
      <c r="C648" s="26">
        <v>64.5</v>
      </c>
      <c r="D648" s="24" t="s">
        <v>9</v>
      </c>
    </row>
    <row r="649" spans="1:4" ht="15.75" customHeight="1" x14ac:dyDescent="0.2">
      <c r="A649" s="27">
        <v>40</v>
      </c>
      <c r="B649" s="28">
        <v>10.6</v>
      </c>
      <c r="C649" s="29">
        <v>80</v>
      </c>
      <c r="D649" s="27" t="s">
        <v>9</v>
      </c>
    </row>
    <row r="650" spans="1:4" ht="15.75" customHeight="1" x14ac:dyDescent="0.2">
      <c r="A650" s="24">
        <v>2</v>
      </c>
      <c r="B650" s="25">
        <v>10.7</v>
      </c>
      <c r="C650" s="26">
        <v>99.73</v>
      </c>
      <c r="D650" s="24" t="s">
        <v>9</v>
      </c>
    </row>
    <row r="651" spans="1:4" ht="15.75" customHeight="1" x14ac:dyDescent="0.2">
      <c r="A651" s="27">
        <v>44</v>
      </c>
      <c r="B651" s="28">
        <v>10.3</v>
      </c>
      <c r="C651" s="29">
        <v>89.49</v>
      </c>
      <c r="D651" s="27" t="s">
        <v>9</v>
      </c>
    </row>
    <row r="652" spans="1:4" ht="15.75" customHeight="1" x14ac:dyDescent="0.2">
      <c r="A652" s="24">
        <v>31</v>
      </c>
      <c r="B652" s="25">
        <v>11.6</v>
      </c>
      <c r="C652" s="26">
        <v>95.39</v>
      </c>
      <c r="D652" s="24" t="s">
        <v>9</v>
      </c>
    </row>
    <row r="653" spans="1:4" ht="15.75" customHeight="1" x14ac:dyDescent="0.2">
      <c r="A653" s="27">
        <v>40</v>
      </c>
      <c r="B653" s="28">
        <v>12.1</v>
      </c>
      <c r="C653" s="29">
        <v>94.07</v>
      </c>
      <c r="D653" s="27" t="s">
        <v>9</v>
      </c>
    </row>
    <row r="654" spans="1:4" ht="15.75" customHeight="1" x14ac:dyDescent="0.2">
      <c r="A654" s="24">
        <v>41</v>
      </c>
      <c r="B654" s="25">
        <v>12.5</v>
      </c>
      <c r="C654" s="26">
        <v>99.72</v>
      </c>
      <c r="D654" s="24" t="s">
        <v>9</v>
      </c>
    </row>
    <row r="655" spans="1:4" ht="15.75" customHeight="1" x14ac:dyDescent="0.2">
      <c r="A655" s="27">
        <v>15</v>
      </c>
      <c r="B655" s="28">
        <v>10.9</v>
      </c>
      <c r="C655" s="29">
        <v>77.13</v>
      </c>
      <c r="D655" s="27" t="s">
        <v>9</v>
      </c>
    </row>
    <row r="656" spans="1:4" ht="15.75" customHeight="1" x14ac:dyDescent="0.2">
      <c r="A656" s="24">
        <v>57</v>
      </c>
      <c r="B656" s="25">
        <v>13</v>
      </c>
      <c r="C656" s="26">
        <v>67.31</v>
      </c>
      <c r="D656" s="24" t="s">
        <v>9</v>
      </c>
    </row>
    <row r="657" spans="1:4" ht="15.75" customHeight="1" x14ac:dyDescent="0.2">
      <c r="A657" s="27">
        <v>51</v>
      </c>
      <c r="B657" s="28">
        <v>11.5</v>
      </c>
      <c r="C657" s="29">
        <v>118.49</v>
      </c>
      <c r="D657" s="27" t="s">
        <v>9</v>
      </c>
    </row>
    <row r="658" spans="1:4" ht="15.75" customHeight="1" x14ac:dyDescent="0.2">
      <c r="A658" s="24">
        <v>41</v>
      </c>
      <c r="B658" s="25">
        <v>11.1</v>
      </c>
      <c r="C658" s="26">
        <v>67.2</v>
      </c>
      <c r="D658" s="24" t="s">
        <v>9</v>
      </c>
    </row>
    <row r="659" spans="1:4" ht="15.75" customHeight="1" x14ac:dyDescent="0.2">
      <c r="A659" s="27">
        <v>41</v>
      </c>
      <c r="B659" s="28">
        <v>12.5</v>
      </c>
      <c r="C659" s="29">
        <v>100.55</v>
      </c>
      <c r="D659" s="27" t="s">
        <v>9</v>
      </c>
    </row>
    <row r="660" spans="1:4" ht="15.75" customHeight="1" x14ac:dyDescent="0.2">
      <c r="A660" s="24">
        <v>30</v>
      </c>
      <c r="B660" s="25">
        <v>12.2</v>
      </c>
      <c r="C660" s="26">
        <v>79.36</v>
      </c>
      <c r="D660" s="24" t="s">
        <v>9</v>
      </c>
    </row>
    <row r="661" spans="1:4" ht="15.75" customHeight="1" x14ac:dyDescent="0.2">
      <c r="A661" s="27">
        <v>2</v>
      </c>
      <c r="B661" s="28">
        <v>12.4</v>
      </c>
      <c r="C661" s="29">
        <v>90.66</v>
      </c>
      <c r="D661" s="27" t="s">
        <v>9</v>
      </c>
    </row>
    <row r="662" spans="1:4" ht="15.75" customHeight="1" x14ac:dyDescent="0.2">
      <c r="A662" s="23"/>
      <c r="B662" s="23"/>
      <c r="C662" s="23"/>
      <c r="D662" s="23"/>
    </row>
    <row r="663" spans="1:4" ht="15.75" customHeight="1" x14ac:dyDescent="0.2">
      <c r="A663" s="23"/>
      <c r="B663" s="23"/>
      <c r="C663" s="23"/>
      <c r="D663" s="23"/>
    </row>
    <row r="664" spans="1:4" ht="15.75" customHeight="1" x14ac:dyDescent="0.2">
      <c r="A664" s="23"/>
      <c r="B664" s="23"/>
      <c r="C664" s="23"/>
      <c r="D664" s="23"/>
    </row>
    <row r="665" spans="1:4" ht="15.75" customHeight="1" x14ac:dyDescent="0.2">
      <c r="A665" s="23"/>
      <c r="B665" s="23"/>
      <c r="C665" s="23"/>
      <c r="D665" s="23"/>
    </row>
    <row r="666" spans="1:4" ht="15.75" customHeight="1" x14ac:dyDescent="0.2">
      <c r="A666" s="23"/>
      <c r="B666" s="23"/>
      <c r="C666" s="23"/>
      <c r="D666" s="23"/>
    </row>
    <row r="667" spans="1:4" ht="15.75" customHeight="1" x14ac:dyDescent="0.2">
      <c r="A667" s="23"/>
      <c r="B667" s="23"/>
      <c r="C667" s="23"/>
      <c r="D667" s="23"/>
    </row>
    <row r="668" spans="1:4" ht="15.75" customHeight="1" x14ac:dyDescent="0.2">
      <c r="A668" s="23"/>
      <c r="B668" s="23"/>
      <c r="C668" s="23"/>
      <c r="D668" s="23"/>
    </row>
    <row r="669" spans="1:4" ht="15.75" customHeight="1" x14ac:dyDescent="0.2">
      <c r="A669" s="23"/>
      <c r="B669" s="23"/>
      <c r="C669" s="23"/>
      <c r="D669" s="23"/>
    </row>
    <row r="670" spans="1:4" ht="15.75" customHeight="1" x14ac:dyDescent="0.2">
      <c r="A670" s="23"/>
      <c r="B670" s="23"/>
      <c r="C670" s="23"/>
      <c r="D670" s="23"/>
    </row>
    <row r="671" spans="1:4" ht="15.75" customHeight="1" x14ac:dyDescent="0.2">
      <c r="A671" s="23"/>
      <c r="B671" s="23"/>
      <c r="C671" s="23"/>
      <c r="D671" s="23"/>
    </row>
    <row r="672" spans="1:4" ht="15.75" customHeight="1" x14ac:dyDescent="0.2">
      <c r="A672" s="23"/>
      <c r="B672" s="23"/>
      <c r="C672" s="23"/>
      <c r="D672" s="23"/>
    </row>
    <row r="673" spans="1:4" ht="15.75" customHeight="1" x14ac:dyDescent="0.2">
      <c r="A673" s="23"/>
      <c r="B673" s="23"/>
      <c r="C673" s="23"/>
      <c r="D673" s="23"/>
    </row>
    <row r="674" spans="1:4" ht="15.75" customHeight="1" x14ac:dyDescent="0.2">
      <c r="A674" s="23"/>
      <c r="B674" s="23"/>
      <c r="C674" s="23"/>
      <c r="D674" s="23"/>
    </row>
    <row r="675" spans="1:4" ht="15.75" customHeight="1" x14ac:dyDescent="0.2">
      <c r="A675" s="23"/>
      <c r="B675" s="23"/>
      <c r="C675" s="23"/>
      <c r="D675" s="23"/>
    </row>
    <row r="676" spans="1:4" ht="15.75" customHeight="1" x14ac:dyDescent="0.2">
      <c r="A676" s="23"/>
      <c r="B676" s="23"/>
      <c r="C676" s="23"/>
      <c r="D676" s="23"/>
    </row>
    <row r="677" spans="1:4" ht="15.75" customHeight="1" x14ac:dyDescent="0.2">
      <c r="A677" s="23"/>
      <c r="B677" s="23"/>
      <c r="C677" s="23"/>
      <c r="D677" s="23"/>
    </row>
    <row r="678" spans="1:4" ht="15.75" customHeight="1" x14ac:dyDescent="0.2">
      <c r="A678" s="23"/>
      <c r="B678" s="23"/>
      <c r="C678" s="23"/>
      <c r="D678" s="23"/>
    </row>
    <row r="679" spans="1:4" ht="15.75" customHeight="1" x14ac:dyDescent="0.2">
      <c r="A679" s="23"/>
      <c r="B679" s="23"/>
      <c r="C679" s="23"/>
      <c r="D679" s="23"/>
    </row>
    <row r="680" spans="1:4" ht="15.75" customHeight="1" x14ac:dyDescent="0.2">
      <c r="A680" s="23"/>
      <c r="B680" s="23"/>
      <c r="C680" s="23"/>
      <c r="D680" s="23"/>
    </row>
    <row r="681" spans="1:4" ht="15.75" customHeight="1" x14ac:dyDescent="0.2">
      <c r="A681" s="23"/>
      <c r="B681" s="23"/>
      <c r="C681" s="23"/>
      <c r="D681" s="23"/>
    </row>
    <row r="682" spans="1:4" ht="15.75" customHeight="1" x14ac:dyDescent="0.2">
      <c r="A682" s="23"/>
      <c r="B682" s="23"/>
      <c r="C682" s="23"/>
      <c r="D682" s="23"/>
    </row>
    <row r="683" spans="1:4" ht="15.75" customHeight="1" x14ac:dyDescent="0.2">
      <c r="A683" s="23"/>
      <c r="B683" s="23"/>
      <c r="C683" s="23"/>
      <c r="D683" s="23"/>
    </row>
    <row r="684" spans="1:4" ht="15.75" customHeight="1" x14ac:dyDescent="0.2">
      <c r="A684" s="23"/>
      <c r="B684" s="23"/>
      <c r="C684" s="23"/>
      <c r="D684" s="23"/>
    </row>
    <row r="685" spans="1:4" ht="15.75" customHeight="1" x14ac:dyDescent="0.2">
      <c r="A685" s="23"/>
      <c r="B685" s="23"/>
      <c r="C685" s="23"/>
      <c r="D685" s="23"/>
    </row>
    <row r="686" spans="1:4" ht="15.75" customHeight="1" x14ac:dyDescent="0.2">
      <c r="A686" s="23"/>
      <c r="B686" s="23"/>
      <c r="C686" s="23"/>
      <c r="D686" s="23"/>
    </row>
    <row r="687" spans="1:4" ht="15.75" customHeight="1" x14ac:dyDescent="0.2">
      <c r="A687" s="23"/>
      <c r="B687" s="23"/>
      <c r="C687" s="23"/>
      <c r="D687" s="23"/>
    </row>
    <row r="688" spans="1:4" ht="15.75" customHeight="1" x14ac:dyDescent="0.2">
      <c r="A688" s="23"/>
      <c r="B688" s="23"/>
      <c r="C688" s="23"/>
      <c r="D688" s="23"/>
    </row>
    <row r="689" spans="1:4" ht="15.75" customHeight="1" x14ac:dyDescent="0.2">
      <c r="A689" s="23"/>
      <c r="B689" s="23"/>
      <c r="C689" s="23"/>
      <c r="D689" s="23"/>
    </row>
    <row r="690" spans="1:4" ht="15.75" customHeight="1" x14ac:dyDescent="0.2">
      <c r="A690" s="23"/>
      <c r="B690" s="23"/>
      <c r="C690" s="23"/>
      <c r="D690" s="23"/>
    </row>
    <row r="691" spans="1:4" ht="15.75" customHeight="1" x14ac:dyDescent="0.2">
      <c r="A691" s="23"/>
      <c r="B691" s="23"/>
      <c r="C691" s="23"/>
      <c r="D691" s="23"/>
    </row>
    <row r="692" spans="1:4" ht="15.75" customHeight="1" x14ac:dyDescent="0.2">
      <c r="A692" s="23"/>
      <c r="B692" s="23"/>
      <c r="C692" s="23"/>
      <c r="D692" s="23"/>
    </row>
    <row r="693" spans="1:4" ht="15.75" customHeight="1" x14ac:dyDescent="0.2">
      <c r="A693" s="23"/>
      <c r="B693" s="23"/>
      <c r="C693" s="23"/>
      <c r="D693" s="23"/>
    </row>
    <row r="694" spans="1:4" ht="15.75" customHeight="1" x14ac:dyDescent="0.2">
      <c r="A694" s="23"/>
      <c r="B694" s="23"/>
      <c r="C694" s="23"/>
      <c r="D694" s="23"/>
    </row>
    <row r="695" spans="1:4" ht="15.75" customHeight="1" x14ac:dyDescent="0.2">
      <c r="A695" s="23"/>
      <c r="B695" s="23"/>
      <c r="C695" s="23"/>
      <c r="D695" s="23"/>
    </row>
    <row r="696" spans="1:4" ht="15.75" customHeight="1" x14ac:dyDescent="0.2">
      <c r="A696" s="23"/>
      <c r="B696" s="23"/>
      <c r="C696" s="23"/>
      <c r="D696" s="23"/>
    </row>
    <row r="697" spans="1:4" ht="15.75" customHeight="1" x14ac:dyDescent="0.2">
      <c r="A697" s="23"/>
      <c r="B697" s="23"/>
      <c r="C697" s="23"/>
      <c r="D697" s="23"/>
    </row>
    <row r="698" spans="1:4" ht="15.75" customHeight="1" x14ac:dyDescent="0.2">
      <c r="A698" s="23"/>
      <c r="B698" s="23"/>
      <c r="C698" s="23"/>
      <c r="D698" s="23"/>
    </row>
    <row r="699" spans="1:4" ht="15.75" customHeight="1" x14ac:dyDescent="0.2">
      <c r="A699" s="23"/>
      <c r="B699" s="23"/>
      <c r="C699" s="23"/>
      <c r="D699" s="23"/>
    </row>
    <row r="700" spans="1:4" ht="15.75" customHeight="1" x14ac:dyDescent="0.2">
      <c r="A700" s="23"/>
      <c r="B700" s="23"/>
      <c r="C700" s="23"/>
      <c r="D700" s="23"/>
    </row>
    <row r="701" spans="1:4" ht="15.75" customHeight="1" x14ac:dyDescent="0.2">
      <c r="A701" s="23"/>
      <c r="B701" s="23"/>
      <c r="C701" s="23"/>
      <c r="D701" s="23"/>
    </row>
    <row r="702" spans="1:4" ht="15.75" customHeight="1" x14ac:dyDescent="0.2">
      <c r="A702" s="23"/>
      <c r="B702" s="23"/>
      <c r="C702" s="23"/>
      <c r="D702" s="23"/>
    </row>
    <row r="703" spans="1:4" ht="15.75" customHeight="1" x14ac:dyDescent="0.2">
      <c r="A703" s="23"/>
      <c r="B703" s="23"/>
      <c r="C703" s="23"/>
      <c r="D703" s="23"/>
    </row>
    <row r="704" spans="1:4" ht="15.75" customHeight="1" x14ac:dyDescent="0.2">
      <c r="A704" s="23"/>
      <c r="B704" s="23"/>
      <c r="C704" s="23"/>
      <c r="D704" s="23"/>
    </row>
    <row r="705" spans="1:4" ht="15.75" customHeight="1" x14ac:dyDescent="0.2">
      <c r="A705" s="23"/>
      <c r="B705" s="23"/>
      <c r="C705" s="23"/>
      <c r="D705" s="23"/>
    </row>
    <row r="706" spans="1:4" ht="15.75" customHeight="1" x14ac:dyDescent="0.2">
      <c r="A706" s="23"/>
      <c r="B706" s="23"/>
      <c r="C706" s="23"/>
      <c r="D706" s="23"/>
    </row>
    <row r="707" spans="1:4" ht="15.75" customHeight="1" x14ac:dyDescent="0.2">
      <c r="A707" s="23"/>
      <c r="B707" s="23"/>
      <c r="C707" s="23"/>
      <c r="D707" s="23"/>
    </row>
    <row r="708" spans="1:4" ht="15.75" customHeight="1" x14ac:dyDescent="0.2">
      <c r="A708" s="23"/>
      <c r="B708" s="23"/>
      <c r="C708" s="23"/>
      <c r="D708" s="23"/>
    </row>
    <row r="709" spans="1:4" ht="15.75" customHeight="1" x14ac:dyDescent="0.2">
      <c r="A709" s="23"/>
      <c r="B709" s="23"/>
      <c r="C709" s="23"/>
      <c r="D709" s="23"/>
    </row>
    <row r="710" spans="1:4" ht="15.75" customHeight="1" x14ac:dyDescent="0.2">
      <c r="A710" s="23"/>
      <c r="B710" s="23"/>
      <c r="C710" s="23"/>
      <c r="D710" s="23"/>
    </row>
    <row r="711" spans="1:4" ht="15.75" customHeight="1" x14ac:dyDescent="0.2">
      <c r="A711" s="23"/>
      <c r="B711" s="23"/>
      <c r="C711" s="23"/>
      <c r="D711" s="23"/>
    </row>
    <row r="712" spans="1:4" ht="15.75" customHeight="1" x14ac:dyDescent="0.2">
      <c r="A712" s="23"/>
      <c r="B712" s="23"/>
      <c r="C712" s="23"/>
      <c r="D712" s="23"/>
    </row>
    <row r="713" spans="1:4" ht="15.75" customHeight="1" x14ac:dyDescent="0.2">
      <c r="A713" s="23"/>
      <c r="B713" s="23"/>
      <c r="C713" s="23"/>
      <c r="D713" s="23"/>
    </row>
    <row r="714" spans="1:4" ht="15.75" customHeight="1" x14ac:dyDescent="0.2">
      <c r="A714" s="23"/>
      <c r="B714" s="23"/>
      <c r="C714" s="23"/>
      <c r="D714" s="23"/>
    </row>
    <row r="715" spans="1:4" ht="15.75" customHeight="1" x14ac:dyDescent="0.2">
      <c r="A715" s="23"/>
      <c r="B715" s="23"/>
      <c r="C715" s="23"/>
      <c r="D715" s="23"/>
    </row>
    <row r="716" spans="1:4" ht="15.75" customHeight="1" x14ac:dyDescent="0.2">
      <c r="A716" s="23"/>
      <c r="B716" s="23"/>
      <c r="C716" s="23"/>
      <c r="D716" s="23"/>
    </row>
    <row r="717" spans="1:4" ht="15.75" customHeight="1" x14ac:dyDescent="0.2">
      <c r="A717" s="23"/>
      <c r="B717" s="23"/>
      <c r="C717" s="23"/>
      <c r="D717" s="23"/>
    </row>
    <row r="718" spans="1:4" ht="15.75" customHeight="1" x14ac:dyDescent="0.2">
      <c r="A718" s="23"/>
      <c r="B718" s="23"/>
      <c r="C718" s="23"/>
      <c r="D718" s="23"/>
    </row>
    <row r="719" spans="1:4" ht="15.75" customHeight="1" x14ac:dyDescent="0.2">
      <c r="A719" s="23"/>
      <c r="B719" s="23"/>
      <c r="C719" s="23"/>
      <c r="D719" s="23"/>
    </row>
    <row r="720" spans="1:4" ht="15.75" customHeight="1" x14ac:dyDescent="0.2">
      <c r="A720" s="23"/>
      <c r="B720" s="23"/>
      <c r="C720" s="23"/>
      <c r="D720" s="23"/>
    </row>
    <row r="721" spans="1:4" ht="15.75" customHeight="1" x14ac:dyDescent="0.2">
      <c r="A721" s="23"/>
      <c r="B721" s="23"/>
      <c r="C721" s="23"/>
      <c r="D721" s="23"/>
    </row>
    <row r="722" spans="1:4" ht="15.75" customHeight="1" x14ac:dyDescent="0.2">
      <c r="A722" s="23"/>
      <c r="B722" s="23"/>
      <c r="C722" s="23"/>
      <c r="D722" s="23"/>
    </row>
    <row r="723" spans="1:4" ht="15.75" customHeight="1" x14ac:dyDescent="0.2">
      <c r="A723" s="23"/>
      <c r="B723" s="23"/>
      <c r="C723" s="23"/>
      <c r="D723" s="23"/>
    </row>
    <row r="724" spans="1:4" ht="15.75" customHeight="1" x14ac:dyDescent="0.2">
      <c r="A724" s="23"/>
      <c r="B724" s="23"/>
      <c r="C724" s="23"/>
      <c r="D724" s="23"/>
    </row>
    <row r="725" spans="1:4" ht="15.75" customHeight="1" x14ac:dyDescent="0.2">
      <c r="A725" s="23"/>
      <c r="B725" s="23"/>
      <c r="C725" s="23"/>
      <c r="D725" s="23"/>
    </row>
    <row r="726" spans="1:4" ht="15.75" customHeight="1" x14ac:dyDescent="0.2">
      <c r="A726" s="23"/>
      <c r="B726" s="23"/>
      <c r="C726" s="23"/>
      <c r="D726" s="23"/>
    </row>
    <row r="727" spans="1:4" ht="15.75" customHeight="1" x14ac:dyDescent="0.2">
      <c r="A727" s="23"/>
      <c r="B727" s="23"/>
      <c r="C727" s="23"/>
      <c r="D727" s="23"/>
    </row>
    <row r="728" spans="1:4" ht="15.75" customHeight="1" x14ac:dyDescent="0.2">
      <c r="A728" s="23"/>
      <c r="B728" s="23"/>
      <c r="C728" s="23"/>
      <c r="D728" s="23"/>
    </row>
    <row r="729" spans="1:4" ht="15.75" customHeight="1" x14ac:dyDescent="0.2">
      <c r="A729" s="23"/>
      <c r="B729" s="23"/>
      <c r="C729" s="23"/>
      <c r="D729" s="23"/>
    </row>
    <row r="730" spans="1:4" ht="15.75" customHeight="1" x14ac:dyDescent="0.2">
      <c r="A730" s="23"/>
      <c r="B730" s="23"/>
      <c r="C730" s="23"/>
      <c r="D730" s="23"/>
    </row>
    <row r="731" spans="1:4" ht="15.75" customHeight="1" x14ac:dyDescent="0.2">
      <c r="A731" s="23"/>
      <c r="B731" s="23"/>
      <c r="C731" s="23"/>
      <c r="D731" s="23"/>
    </row>
    <row r="732" spans="1:4" ht="15.75" customHeight="1" x14ac:dyDescent="0.2">
      <c r="A732" s="23"/>
      <c r="B732" s="23"/>
      <c r="C732" s="23"/>
      <c r="D732" s="23"/>
    </row>
    <row r="733" spans="1:4" ht="15.75" customHeight="1" x14ac:dyDescent="0.2">
      <c r="A733" s="23"/>
      <c r="B733" s="23"/>
      <c r="C733" s="23"/>
      <c r="D733" s="23"/>
    </row>
    <row r="734" spans="1:4" ht="15.75" customHeight="1" x14ac:dyDescent="0.2">
      <c r="A734" s="23"/>
      <c r="B734" s="23"/>
      <c r="C734" s="23"/>
      <c r="D734" s="23"/>
    </row>
    <row r="735" spans="1:4" ht="15.75" customHeight="1" x14ac:dyDescent="0.2">
      <c r="A735" s="23"/>
      <c r="B735" s="23"/>
      <c r="C735" s="23"/>
      <c r="D735" s="23"/>
    </row>
    <row r="736" spans="1:4" ht="15.75" customHeight="1" x14ac:dyDescent="0.2">
      <c r="A736" s="23"/>
      <c r="B736" s="23"/>
      <c r="C736" s="23"/>
      <c r="D736" s="23"/>
    </row>
    <row r="737" spans="1:4" ht="15.75" customHeight="1" x14ac:dyDescent="0.2">
      <c r="A737" s="23"/>
      <c r="B737" s="23"/>
      <c r="C737" s="23"/>
      <c r="D737" s="23"/>
    </row>
    <row r="738" spans="1:4" ht="15.75" customHeight="1" x14ac:dyDescent="0.2">
      <c r="A738" s="23"/>
      <c r="B738" s="23"/>
      <c r="C738" s="23"/>
      <c r="D738" s="23"/>
    </row>
    <row r="739" spans="1:4" ht="15.75" customHeight="1" x14ac:dyDescent="0.2">
      <c r="A739" s="23"/>
      <c r="B739" s="23"/>
      <c r="C739" s="23"/>
      <c r="D739" s="23"/>
    </row>
    <row r="740" spans="1:4" ht="15.75" customHeight="1" x14ac:dyDescent="0.2">
      <c r="A740" s="23"/>
      <c r="B740" s="23"/>
      <c r="C740" s="23"/>
      <c r="D740" s="23"/>
    </row>
    <row r="741" spans="1:4" ht="15.75" customHeight="1" x14ac:dyDescent="0.2">
      <c r="A741" s="23"/>
      <c r="B741" s="23"/>
      <c r="C741" s="23"/>
      <c r="D741" s="23"/>
    </row>
    <row r="742" spans="1:4" ht="15.75" customHeight="1" x14ac:dyDescent="0.2">
      <c r="A742" s="23"/>
      <c r="B742" s="23"/>
      <c r="C742" s="23"/>
      <c r="D742" s="23"/>
    </row>
    <row r="743" spans="1:4" ht="15.75" customHeight="1" x14ac:dyDescent="0.2">
      <c r="A743" s="23"/>
      <c r="B743" s="23"/>
      <c r="C743" s="23"/>
      <c r="D743" s="23"/>
    </row>
    <row r="744" spans="1:4" ht="15.75" customHeight="1" x14ac:dyDescent="0.2">
      <c r="A744" s="23"/>
      <c r="B744" s="23"/>
      <c r="C744" s="23"/>
      <c r="D744" s="23"/>
    </row>
    <row r="745" spans="1:4" ht="15.75" customHeight="1" x14ac:dyDescent="0.2">
      <c r="A745" s="23"/>
      <c r="B745" s="23"/>
      <c r="C745" s="23"/>
      <c r="D745" s="23"/>
    </row>
    <row r="746" spans="1:4" ht="15.75" customHeight="1" x14ac:dyDescent="0.2">
      <c r="A746" s="23"/>
      <c r="B746" s="23"/>
      <c r="C746" s="23"/>
      <c r="D746" s="23"/>
    </row>
    <row r="747" spans="1:4" ht="15.75" customHeight="1" x14ac:dyDescent="0.2">
      <c r="A747" s="23"/>
      <c r="B747" s="23"/>
      <c r="C747" s="23"/>
      <c r="D747" s="23"/>
    </row>
    <row r="748" spans="1:4" ht="15.75" customHeight="1" x14ac:dyDescent="0.2">
      <c r="A748" s="23"/>
      <c r="B748" s="23"/>
      <c r="C748" s="23"/>
      <c r="D748" s="23"/>
    </row>
    <row r="749" spans="1:4" ht="15.75" customHeight="1" x14ac:dyDescent="0.2">
      <c r="A749" s="23"/>
      <c r="B749" s="23"/>
      <c r="C749" s="23"/>
      <c r="D749" s="23"/>
    </row>
    <row r="750" spans="1:4" ht="15.75" customHeight="1" x14ac:dyDescent="0.2">
      <c r="A750" s="23"/>
      <c r="B750" s="23"/>
      <c r="C750" s="23"/>
      <c r="D750" s="23"/>
    </row>
    <row r="751" spans="1:4" ht="15.75" customHeight="1" x14ac:dyDescent="0.2">
      <c r="A751" s="23"/>
      <c r="B751" s="23"/>
      <c r="C751" s="23"/>
      <c r="D751" s="23"/>
    </row>
    <row r="752" spans="1:4" ht="15.75" customHeight="1" x14ac:dyDescent="0.2">
      <c r="A752" s="23"/>
      <c r="B752" s="23"/>
      <c r="C752" s="23"/>
      <c r="D752" s="23"/>
    </row>
    <row r="753" spans="1:4" ht="15.75" customHeight="1" x14ac:dyDescent="0.2">
      <c r="A753" s="23"/>
      <c r="B753" s="23"/>
      <c r="C753" s="23"/>
      <c r="D753" s="23"/>
    </row>
    <row r="754" spans="1:4" ht="15.75" customHeight="1" x14ac:dyDescent="0.2">
      <c r="A754" s="23"/>
      <c r="B754" s="23"/>
      <c r="C754" s="23"/>
      <c r="D754" s="23"/>
    </row>
    <row r="755" spans="1:4" ht="15.75" customHeight="1" x14ac:dyDescent="0.2">
      <c r="A755" s="23"/>
      <c r="B755" s="23"/>
      <c r="C755" s="23"/>
      <c r="D755" s="23"/>
    </row>
    <row r="756" spans="1:4" ht="15.75" customHeight="1" x14ac:dyDescent="0.2">
      <c r="A756" s="23"/>
      <c r="B756" s="23"/>
      <c r="C756" s="23"/>
      <c r="D756" s="23"/>
    </row>
    <row r="757" spans="1:4" ht="15.75" customHeight="1" x14ac:dyDescent="0.2">
      <c r="A757" s="23"/>
      <c r="B757" s="23"/>
      <c r="C757" s="23"/>
      <c r="D757" s="23"/>
    </row>
    <row r="758" spans="1:4" ht="15.75" customHeight="1" x14ac:dyDescent="0.2">
      <c r="A758" s="23"/>
      <c r="B758" s="23"/>
      <c r="C758" s="23"/>
      <c r="D758" s="23"/>
    </row>
    <row r="759" spans="1:4" ht="15.75" customHeight="1" x14ac:dyDescent="0.2">
      <c r="A759" s="23"/>
      <c r="B759" s="23"/>
      <c r="C759" s="23"/>
      <c r="D759" s="23"/>
    </row>
    <row r="760" spans="1:4" ht="15.75" customHeight="1" x14ac:dyDescent="0.2">
      <c r="A760" s="23"/>
      <c r="B760" s="23"/>
      <c r="C760" s="23"/>
      <c r="D760" s="23"/>
    </row>
    <row r="761" spans="1:4" ht="15.75" customHeight="1" x14ac:dyDescent="0.2">
      <c r="A761" s="23"/>
      <c r="B761" s="23"/>
      <c r="C761" s="23"/>
      <c r="D761" s="23"/>
    </row>
    <row r="762" spans="1:4" ht="15.75" customHeight="1" x14ac:dyDescent="0.2">
      <c r="A762" s="23"/>
      <c r="B762" s="23"/>
      <c r="C762" s="23"/>
      <c r="D762" s="23"/>
    </row>
    <row r="763" spans="1:4" ht="15.75" customHeight="1" x14ac:dyDescent="0.2">
      <c r="A763" s="23"/>
      <c r="B763" s="23"/>
      <c r="C763" s="23"/>
      <c r="D763" s="23"/>
    </row>
    <row r="764" spans="1:4" ht="15.75" customHeight="1" x14ac:dyDescent="0.2">
      <c r="A764" s="23"/>
      <c r="B764" s="23"/>
      <c r="C764" s="23"/>
      <c r="D764" s="23"/>
    </row>
    <row r="765" spans="1:4" ht="15.75" customHeight="1" x14ac:dyDescent="0.2">
      <c r="A765" s="23"/>
      <c r="B765" s="23"/>
      <c r="C765" s="23"/>
      <c r="D765" s="23"/>
    </row>
    <row r="766" spans="1:4" ht="15.75" customHeight="1" x14ac:dyDescent="0.2">
      <c r="A766" s="23"/>
      <c r="B766" s="23"/>
      <c r="C766" s="23"/>
      <c r="D766" s="23"/>
    </row>
    <row r="767" spans="1:4" ht="15.75" customHeight="1" x14ac:dyDescent="0.2">
      <c r="A767" s="23"/>
      <c r="B767" s="23"/>
      <c r="C767" s="23"/>
      <c r="D767" s="23"/>
    </row>
    <row r="768" spans="1:4" ht="15.75" customHeight="1" x14ac:dyDescent="0.2">
      <c r="A768" s="23"/>
      <c r="B768" s="23"/>
      <c r="C768" s="23"/>
      <c r="D768" s="23"/>
    </row>
    <row r="769" spans="1:4" ht="15.75" customHeight="1" x14ac:dyDescent="0.2">
      <c r="A769" s="23"/>
      <c r="B769" s="23"/>
      <c r="C769" s="23"/>
      <c r="D769" s="23"/>
    </row>
    <row r="770" spans="1:4" ht="15.75" customHeight="1" x14ac:dyDescent="0.2">
      <c r="A770" s="23"/>
      <c r="B770" s="23"/>
      <c r="C770" s="23"/>
      <c r="D770" s="23"/>
    </row>
    <row r="771" spans="1:4" ht="15.75" customHeight="1" x14ac:dyDescent="0.2">
      <c r="A771" s="23"/>
      <c r="B771" s="23"/>
      <c r="C771" s="23"/>
      <c r="D771" s="23"/>
    </row>
    <row r="772" spans="1:4" ht="15.75" customHeight="1" x14ac:dyDescent="0.2">
      <c r="A772" s="23"/>
      <c r="B772" s="23"/>
      <c r="C772" s="23"/>
      <c r="D772" s="23"/>
    </row>
    <row r="773" spans="1:4" ht="15.75" customHeight="1" x14ac:dyDescent="0.2">
      <c r="A773" s="23"/>
      <c r="B773" s="23"/>
      <c r="C773" s="23"/>
      <c r="D773" s="23"/>
    </row>
    <row r="774" spans="1:4" ht="15.75" customHeight="1" x14ac:dyDescent="0.2">
      <c r="A774" s="23"/>
      <c r="B774" s="23"/>
      <c r="C774" s="23"/>
      <c r="D774" s="23"/>
    </row>
    <row r="775" spans="1:4" ht="15.75" customHeight="1" x14ac:dyDescent="0.2">
      <c r="A775" s="23"/>
      <c r="B775" s="23"/>
      <c r="C775" s="23"/>
      <c r="D775" s="23"/>
    </row>
    <row r="776" spans="1:4" ht="15.75" customHeight="1" x14ac:dyDescent="0.2">
      <c r="A776" s="23"/>
      <c r="B776" s="23"/>
      <c r="C776" s="23"/>
      <c r="D776" s="23"/>
    </row>
    <row r="777" spans="1:4" ht="15.75" customHeight="1" x14ac:dyDescent="0.2">
      <c r="A777" s="23"/>
      <c r="B777" s="23"/>
      <c r="C777" s="23"/>
      <c r="D777" s="23"/>
    </row>
    <row r="778" spans="1:4" ht="15.75" customHeight="1" x14ac:dyDescent="0.2">
      <c r="A778" s="23"/>
      <c r="B778" s="23"/>
      <c r="C778" s="23"/>
      <c r="D778" s="23"/>
    </row>
    <row r="779" spans="1:4" ht="15.75" customHeight="1" x14ac:dyDescent="0.2">
      <c r="A779" s="23"/>
      <c r="B779" s="23"/>
      <c r="C779" s="23"/>
      <c r="D779" s="23"/>
    </row>
    <row r="780" spans="1:4" ht="15.75" customHeight="1" x14ac:dyDescent="0.2">
      <c r="A780" s="23"/>
      <c r="B780" s="23"/>
      <c r="C780" s="23"/>
      <c r="D780" s="23"/>
    </row>
    <row r="781" spans="1:4" ht="15.75" customHeight="1" x14ac:dyDescent="0.2">
      <c r="A781" s="23"/>
      <c r="B781" s="23"/>
      <c r="C781" s="23"/>
      <c r="D781" s="23"/>
    </row>
    <row r="782" spans="1:4" ht="15.75" customHeight="1" x14ac:dyDescent="0.2">
      <c r="A782" s="23"/>
      <c r="B782" s="23"/>
      <c r="C782" s="23"/>
      <c r="D782" s="23"/>
    </row>
    <row r="783" spans="1:4" ht="15.75" customHeight="1" x14ac:dyDescent="0.2">
      <c r="A783" s="23"/>
      <c r="B783" s="23"/>
      <c r="C783" s="23"/>
      <c r="D783" s="23"/>
    </row>
    <row r="784" spans="1:4" ht="15.75" customHeight="1" x14ac:dyDescent="0.2">
      <c r="A784" s="23"/>
      <c r="B784" s="23"/>
      <c r="C784" s="23"/>
      <c r="D784" s="23"/>
    </row>
    <row r="785" spans="1:4" ht="15.75" customHeight="1" x14ac:dyDescent="0.2">
      <c r="A785" s="23"/>
      <c r="B785" s="23"/>
      <c r="C785" s="23"/>
      <c r="D785" s="23"/>
    </row>
    <row r="786" spans="1:4" ht="15.75" customHeight="1" x14ac:dyDescent="0.2">
      <c r="A786" s="23"/>
      <c r="B786" s="23"/>
      <c r="C786" s="23"/>
      <c r="D786" s="23"/>
    </row>
    <row r="787" spans="1:4" ht="15.75" customHeight="1" x14ac:dyDescent="0.2">
      <c r="A787" s="23"/>
      <c r="B787" s="23"/>
      <c r="C787" s="23"/>
      <c r="D787" s="23"/>
    </row>
    <row r="788" spans="1:4" ht="15.75" customHeight="1" x14ac:dyDescent="0.2">
      <c r="A788" s="23"/>
      <c r="B788" s="23"/>
      <c r="C788" s="23"/>
      <c r="D788" s="23"/>
    </row>
    <row r="789" spans="1:4" ht="15.75" customHeight="1" x14ac:dyDescent="0.2">
      <c r="A789" s="23"/>
      <c r="B789" s="23"/>
      <c r="C789" s="23"/>
      <c r="D789" s="23"/>
    </row>
    <row r="790" spans="1:4" ht="15.75" customHeight="1" x14ac:dyDescent="0.2">
      <c r="A790" s="23"/>
      <c r="B790" s="23"/>
      <c r="C790" s="23"/>
      <c r="D790" s="23"/>
    </row>
    <row r="791" spans="1:4" ht="15.75" customHeight="1" x14ac:dyDescent="0.2">
      <c r="A791" s="23"/>
      <c r="B791" s="23"/>
      <c r="C791" s="23"/>
      <c r="D791" s="23"/>
    </row>
    <row r="792" spans="1:4" ht="15.75" customHeight="1" x14ac:dyDescent="0.2">
      <c r="A792" s="23"/>
      <c r="B792" s="23"/>
      <c r="C792" s="23"/>
      <c r="D792" s="23"/>
    </row>
    <row r="793" spans="1:4" ht="15.75" customHeight="1" x14ac:dyDescent="0.2">
      <c r="A793" s="23"/>
      <c r="B793" s="23"/>
      <c r="C793" s="23"/>
      <c r="D793" s="23"/>
    </row>
    <row r="794" spans="1:4" ht="15.75" customHeight="1" x14ac:dyDescent="0.2">
      <c r="A794" s="23"/>
      <c r="B794" s="23"/>
      <c r="C794" s="23"/>
      <c r="D794" s="23"/>
    </row>
    <row r="795" spans="1:4" ht="15.75" customHeight="1" x14ac:dyDescent="0.2">
      <c r="A795" s="23"/>
      <c r="B795" s="23"/>
      <c r="C795" s="23"/>
      <c r="D795" s="23"/>
    </row>
    <row r="796" spans="1:4" ht="15.75" customHeight="1" x14ac:dyDescent="0.2">
      <c r="A796" s="23"/>
      <c r="B796" s="23"/>
      <c r="C796" s="23"/>
      <c r="D796" s="23"/>
    </row>
    <row r="797" spans="1:4" ht="15.75" customHeight="1" x14ac:dyDescent="0.2">
      <c r="A797" s="23"/>
      <c r="B797" s="23"/>
      <c r="C797" s="23"/>
      <c r="D797" s="23"/>
    </row>
    <row r="798" spans="1:4" ht="15.75" customHeight="1" x14ac:dyDescent="0.2">
      <c r="A798" s="23"/>
      <c r="B798" s="23"/>
      <c r="C798" s="23"/>
      <c r="D798" s="23"/>
    </row>
    <row r="799" spans="1:4" ht="15.75" customHeight="1" x14ac:dyDescent="0.2">
      <c r="A799" s="23"/>
      <c r="B799" s="23"/>
      <c r="C799" s="23"/>
      <c r="D799" s="23"/>
    </row>
    <row r="800" spans="1:4" ht="15.75" customHeight="1" x14ac:dyDescent="0.2">
      <c r="A800" s="23"/>
      <c r="B800" s="23"/>
      <c r="C800" s="23"/>
      <c r="D800" s="23"/>
    </row>
    <row r="801" spans="1:4" ht="15.75" customHeight="1" x14ac:dyDescent="0.2">
      <c r="A801" s="23"/>
      <c r="B801" s="23"/>
      <c r="C801" s="23"/>
      <c r="D801" s="23"/>
    </row>
    <row r="802" spans="1:4" ht="15.75" customHeight="1" x14ac:dyDescent="0.2">
      <c r="A802" s="23"/>
      <c r="B802" s="23"/>
      <c r="C802" s="23"/>
      <c r="D802" s="23"/>
    </row>
    <row r="803" spans="1:4" ht="15.75" customHeight="1" x14ac:dyDescent="0.2">
      <c r="A803" s="23"/>
      <c r="B803" s="23"/>
      <c r="C803" s="23"/>
      <c r="D803" s="23"/>
    </row>
    <row r="804" spans="1:4" ht="15.75" customHeight="1" x14ac:dyDescent="0.2">
      <c r="A804" s="23"/>
      <c r="B804" s="23"/>
      <c r="C804" s="23"/>
      <c r="D804" s="23"/>
    </row>
    <row r="805" spans="1:4" ht="15.75" customHeight="1" x14ac:dyDescent="0.2">
      <c r="A805" s="23"/>
      <c r="B805" s="23"/>
      <c r="C805" s="23"/>
      <c r="D805" s="23"/>
    </row>
    <row r="806" spans="1:4" ht="15.75" customHeight="1" x14ac:dyDescent="0.2">
      <c r="A806" s="23"/>
      <c r="B806" s="23"/>
      <c r="C806" s="23"/>
      <c r="D806" s="23"/>
    </row>
    <row r="807" spans="1:4" ht="15.75" customHeight="1" x14ac:dyDescent="0.2">
      <c r="A807" s="23"/>
      <c r="B807" s="23"/>
      <c r="C807" s="23"/>
      <c r="D807" s="23"/>
    </row>
    <row r="808" spans="1:4" ht="15.75" customHeight="1" x14ac:dyDescent="0.2">
      <c r="A808" s="23"/>
      <c r="B808" s="23"/>
      <c r="C808" s="23"/>
      <c r="D808" s="23"/>
    </row>
    <row r="809" spans="1:4" ht="15.75" customHeight="1" x14ac:dyDescent="0.2">
      <c r="A809" s="23"/>
      <c r="B809" s="23"/>
      <c r="C809" s="23"/>
      <c r="D809" s="23"/>
    </row>
    <row r="810" spans="1:4" ht="15.75" customHeight="1" x14ac:dyDescent="0.2">
      <c r="A810" s="23"/>
      <c r="B810" s="23"/>
      <c r="C810" s="23"/>
      <c r="D810" s="23"/>
    </row>
    <row r="811" spans="1:4" ht="15.75" customHeight="1" x14ac:dyDescent="0.2">
      <c r="A811" s="23"/>
      <c r="B811" s="23"/>
      <c r="C811" s="23"/>
      <c r="D811" s="23"/>
    </row>
    <row r="812" spans="1:4" ht="15.75" customHeight="1" x14ac:dyDescent="0.2">
      <c r="A812" s="23"/>
      <c r="B812" s="23"/>
      <c r="C812" s="23"/>
      <c r="D812" s="23"/>
    </row>
    <row r="813" spans="1:4" ht="15.75" customHeight="1" x14ac:dyDescent="0.2">
      <c r="A813" s="23"/>
      <c r="B813" s="23"/>
      <c r="C813" s="23"/>
      <c r="D813" s="23"/>
    </row>
    <row r="814" spans="1:4" ht="15.75" customHeight="1" x14ac:dyDescent="0.2">
      <c r="A814" s="23"/>
      <c r="B814" s="23"/>
      <c r="C814" s="23"/>
      <c r="D814" s="23"/>
    </row>
    <row r="815" spans="1:4" ht="15.75" customHeight="1" x14ac:dyDescent="0.2">
      <c r="A815" s="23"/>
      <c r="B815" s="23"/>
      <c r="C815" s="23"/>
      <c r="D815" s="23"/>
    </row>
    <row r="816" spans="1:4" ht="15.75" customHeight="1" x14ac:dyDescent="0.2">
      <c r="A816" s="23"/>
      <c r="B816" s="23"/>
      <c r="C816" s="23"/>
      <c r="D816" s="23"/>
    </row>
    <row r="817" spans="1:4" ht="15.75" customHeight="1" x14ac:dyDescent="0.2">
      <c r="A817" s="23"/>
      <c r="B817" s="23"/>
      <c r="C817" s="23"/>
      <c r="D817" s="23"/>
    </row>
    <row r="818" spans="1:4" ht="15.75" customHeight="1" x14ac:dyDescent="0.2">
      <c r="A818" s="23"/>
      <c r="B818" s="23"/>
      <c r="C818" s="23"/>
      <c r="D818" s="23"/>
    </row>
    <row r="819" spans="1:4" ht="15.75" customHeight="1" x14ac:dyDescent="0.2">
      <c r="A819" s="23"/>
      <c r="B819" s="23"/>
      <c r="C819" s="23"/>
      <c r="D819" s="23"/>
    </row>
    <row r="820" spans="1:4" ht="15.75" customHeight="1" x14ac:dyDescent="0.2">
      <c r="A820" s="23"/>
      <c r="B820" s="23"/>
      <c r="C820" s="23"/>
      <c r="D820" s="23"/>
    </row>
    <row r="821" spans="1:4" ht="15.75" customHeight="1" x14ac:dyDescent="0.2">
      <c r="A821" s="23"/>
      <c r="B821" s="23"/>
      <c r="C821" s="23"/>
      <c r="D821" s="23"/>
    </row>
    <row r="822" spans="1:4" ht="15.75" customHeight="1" x14ac:dyDescent="0.2">
      <c r="A822" s="23"/>
      <c r="B822" s="23"/>
      <c r="C822" s="23"/>
      <c r="D822" s="23"/>
    </row>
    <row r="823" spans="1:4" ht="15.75" customHeight="1" x14ac:dyDescent="0.2">
      <c r="A823" s="23"/>
      <c r="B823" s="23"/>
      <c r="C823" s="23"/>
      <c r="D823" s="23"/>
    </row>
    <row r="824" spans="1:4" ht="15.75" customHeight="1" x14ac:dyDescent="0.2">
      <c r="A824" s="23"/>
      <c r="B824" s="23"/>
      <c r="C824" s="23"/>
      <c r="D824" s="23"/>
    </row>
    <row r="825" spans="1:4" ht="15.75" customHeight="1" x14ac:dyDescent="0.2">
      <c r="A825" s="23"/>
      <c r="B825" s="23"/>
      <c r="C825" s="23"/>
      <c r="D825" s="23"/>
    </row>
    <row r="826" spans="1:4" ht="15.75" customHeight="1" x14ac:dyDescent="0.2">
      <c r="A826" s="23"/>
      <c r="B826" s="23"/>
      <c r="C826" s="23"/>
      <c r="D826" s="23"/>
    </row>
    <row r="827" spans="1:4" ht="15.75" customHeight="1" x14ac:dyDescent="0.2">
      <c r="A827" s="23"/>
      <c r="B827" s="23"/>
      <c r="C827" s="23"/>
      <c r="D827" s="23"/>
    </row>
    <row r="828" spans="1:4" ht="15.75" customHeight="1" x14ac:dyDescent="0.2">
      <c r="A828" s="23"/>
      <c r="B828" s="23"/>
      <c r="C828" s="23"/>
      <c r="D828" s="23"/>
    </row>
    <row r="829" spans="1:4" ht="15.75" customHeight="1" x14ac:dyDescent="0.2">
      <c r="A829" s="23"/>
      <c r="B829" s="23"/>
      <c r="C829" s="23"/>
      <c r="D829" s="23"/>
    </row>
    <row r="830" spans="1:4" ht="15.75" customHeight="1" x14ac:dyDescent="0.2">
      <c r="A830" s="23"/>
      <c r="B830" s="23"/>
      <c r="C830" s="23"/>
      <c r="D830" s="23"/>
    </row>
    <row r="831" spans="1:4" ht="15.75" customHeight="1" x14ac:dyDescent="0.2">
      <c r="A831" s="23"/>
      <c r="B831" s="23"/>
      <c r="C831" s="23"/>
      <c r="D831" s="23"/>
    </row>
    <row r="832" spans="1:4" ht="15.75" customHeight="1" x14ac:dyDescent="0.2">
      <c r="A832" s="23"/>
      <c r="B832" s="23"/>
      <c r="C832" s="23"/>
      <c r="D832" s="23"/>
    </row>
    <row r="833" spans="1:4" ht="15.75" customHeight="1" x14ac:dyDescent="0.2">
      <c r="A833" s="23"/>
      <c r="B833" s="23"/>
      <c r="C833" s="23"/>
      <c r="D833" s="23"/>
    </row>
    <row r="834" spans="1:4" ht="15.75" customHeight="1" x14ac:dyDescent="0.2">
      <c r="A834" s="23"/>
      <c r="B834" s="23"/>
      <c r="C834" s="23"/>
      <c r="D834" s="23"/>
    </row>
    <row r="835" spans="1:4" ht="15.75" customHeight="1" x14ac:dyDescent="0.2">
      <c r="A835" s="23"/>
      <c r="B835" s="23"/>
      <c r="C835" s="23"/>
      <c r="D835" s="23"/>
    </row>
    <row r="836" spans="1:4" ht="15.75" customHeight="1" x14ac:dyDescent="0.2">
      <c r="A836" s="23"/>
      <c r="B836" s="23"/>
      <c r="C836" s="23"/>
      <c r="D836" s="23"/>
    </row>
    <row r="837" spans="1:4" ht="15.75" customHeight="1" x14ac:dyDescent="0.2">
      <c r="A837" s="23"/>
      <c r="B837" s="23"/>
      <c r="C837" s="23"/>
      <c r="D837" s="23"/>
    </row>
    <row r="838" spans="1:4" ht="15.75" customHeight="1" x14ac:dyDescent="0.2">
      <c r="A838" s="23"/>
      <c r="B838" s="23"/>
      <c r="C838" s="23"/>
      <c r="D838" s="23"/>
    </row>
    <row r="839" spans="1:4" ht="15.75" customHeight="1" x14ac:dyDescent="0.2">
      <c r="A839" s="23"/>
      <c r="B839" s="23"/>
      <c r="C839" s="23"/>
      <c r="D839" s="23"/>
    </row>
    <row r="840" spans="1:4" ht="15.75" customHeight="1" x14ac:dyDescent="0.2">
      <c r="A840" s="23"/>
      <c r="B840" s="23"/>
      <c r="C840" s="23"/>
      <c r="D840" s="23"/>
    </row>
    <row r="841" spans="1:4" ht="15.75" customHeight="1" x14ac:dyDescent="0.2">
      <c r="A841" s="23"/>
      <c r="B841" s="23"/>
      <c r="C841" s="23"/>
      <c r="D841" s="23"/>
    </row>
    <row r="842" spans="1:4" ht="15.75" customHeight="1" x14ac:dyDescent="0.2">
      <c r="A842" s="23"/>
      <c r="B842" s="23"/>
      <c r="C842" s="23"/>
      <c r="D842" s="23"/>
    </row>
    <row r="843" spans="1:4" ht="15.75" customHeight="1" x14ac:dyDescent="0.2">
      <c r="A843" s="23"/>
      <c r="B843" s="23"/>
      <c r="C843" s="23"/>
      <c r="D843" s="23"/>
    </row>
    <row r="844" spans="1:4" ht="15.75" customHeight="1" x14ac:dyDescent="0.2">
      <c r="A844" s="23"/>
      <c r="B844" s="23"/>
      <c r="C844" s="23"/>
      <c r="D844" s="23"/>
    </row>
    <row r="845" spans="1:4" ht="15.75" customHeight="1" x14ac:dyDescent="0.2">
      <c r="A845" s="23"/>
      <c r="B845" s="23"/>
      <c r="C845" s="23"/>
      <c r="D845" s="23"/>
    </row>
    <row r="846" spans="1:4" ht="15.75" customHeight="1" x14ac:dyDescent="0.2">
      <c r="A846" s="23"/>
      <c r="B846" s="23"/>
      <c r="C846" s="23"/>
      <c r="D846" s="23"/>
    </row>
    <row r="847" spans="1:4" ht="15.75" customHeight="1" x14ac:dyDescent="0.2">
      <c r="A847" s="23"/>
      <c r="B847" s="23"/>
      <c r="C847" s="23"/>
      <c r="D847" s="23"/>
    </row>
    <row r="848" spans="1:4" ht="15.75" customHeight="1" x14ac:dyDescent="0.2">
      <c r="A848" s="23"/>
      <c r="B848" s="23"/>
      <c r="C848" s="23"/>
      <c r="D848" s="23"/>
    </row>
    <row r="849" spans="1:4" ht="15.75" customHeight="1" x14ac:dyDescent="0.2">
      <c r="A849" s="23"/>
      <c r="B849" s="23"/>
      <c r="C849" s="23"/>
      <c r="D849" s="23"/>
    </row>
    <row r="850" spans="1:4" ht="15.75" customHeight="1" x14ac:dyDescent="0.2">
      <c r="A850" s="23"/>
      <c r="B850" s="23"/>
      <c r="C850" s="23"/>
      <c r="D850" s="23"/>
    </row>
    <row r="851" spans="1:4" ht="15.75" customHeight="1" x14ac:dyDescent="0.2">
      <c r="A851" s="23"/>
      <c r="B851" s="23"/>
      <c r="C851" s="23"/>
      <c r="D851" s="23"/>
    </row>
    <row r="852" spans="1:4" ht="15.75" customHeight="1" x14ac:dyDescent="0.2">
      <c r="A852" s="23"/>
      <c r="B852" s="23"/>
      <c r="C852" s="23"/>
      <c r="D852" s="23"/>
    </row>
    <row r="853" spans="1:4" ht="15.75" customHeight="1" x14ac:dyDescent="0.2">
      <c r="A853" s="23"/>
      <c r="B853" s="23"/>
      <c r="C853" s="23"/>
      <c r="D853" s="23"/>
    </row>
    <row r="854" spans="1:4" ht="15.75" customHeight="1" x14ac:dyDescent="0.2">
      <c r="A854" s="23"/>
      <c r="B854" s="23"/>
      <c r="C854" s="23"/>
      <c r="D854" s="23"/>
    </row>
    <row r="855" spans="1:4" ht="15.75" customHeight="1" x14ac:dyDescent="0.2">
      <c r="A855" s="23"/>
      <c r="B855" s="23"/>
      <c r="C855" s="23"/>
      <c r="D855" s="23"/>
    </row>
    <row r="856" spans="1:4" ht="15.75" customHeight="1" x14ac:dyDescent="0.2">
      <c r="A856" s="23"/>
      <c r="B856" s="23"/>
      <c r="C856" s="23"/>
      <c r="D856" s="23"/>
    </row>
    <row r="857" spans="1:4" ht="15.75" customHeight="1" x14ac:dyDescent="0.2">
      <c r="A857" s="23"/>
      <c r="B857" s="23"/>
      <c r="C857" s="23"/>
      <c r="D857" s="23"/>
    </row>
    <row r="858" spans="1:4" ht="15.75" customHeight="1" x14ac:dyDescent="0.2">
      <c r="A858" s="23"/>
      <c r="B858" s="23"/>
      <c r="C858" s="23"/>
      <c r="D858" s="23"/>
    </row>
    <row r="859" spans="1:4" ht="15.75" customHeight="1" x14ac:dyDescent="0.2">
      <c r="A859" s="23"/>
      <c r="B859" s="23"/>
      <c r="C859" s="23"/>
      <c r="D859" s="23"/>
    </row>
    <row r="860" spans="1:4" ht="15.75" customHeight="1" x14ac:dyDescent="0.2">
      <c r="A860" s="23"/>
      <c r="B860" s="23"/>
      <c r="C860" s="23"/>
      <c r="D860" s="23"/>
    </row>
    <row r="861" spans="1:4" ht="15.75" customHeight="1" x14ac:dyDescent="0.2">
      <c r="A861" s="23"/>
      <c r="B861" s="23"/>
      <c r="C861" s="23"/>
      <c r="D861" s="23"/>
    </row>
    <row r="862" spans="1:4" ht="15.75" customHeight="1" x14ac:dyDescent="0.2">
      <c r="A862" s="23"/>
      <c r="B862" s="23"/>
      <c r="C862" s="23"/>
      <c r="D862" s="23"/>
    </row>
    <row r="863" spans="1:4" ht="15.75" customHeight="1" x14ac:dyDescent="0.2">
      <c r="A863" s="23"/>
      <c r="B863" s="23"/>
      <c r="C863" s="23"/>
      <c r="D863" s="23"/>
    </row>
    <row r="864" spans="1:4" ht="15.75" customHeight="1" x14ac:dyDescent="0.2">
      <c r="A864" s="23"/>
      <c r="B864" s="23"/>
      <c r="C864" s="23"/>
      <c r="D864" s="23"/>
    </row>
    <row r="865" spans="1:4" ht="15.75" customHeight="1" x14ac:dyDescent="0.2">
      <c r="A865" s="23"/>
      <c r="B865" s="23"/>
      <c r="C865" s="23"/>
      <c r="D865" s="23"/>
    </row>
    <row r="866" spans="1:4" ht="15.75" customHeight="1" x14ac:dyDescent="0.2">
      <c r="A866" s="23"/>
      <c r="B866" s="23"/>
      <c r="C866" s="23"/>
      <c r="D866" s="23"/>
    </row>
    <row r="867" spans="1:4" ht="15.75" customHeight="1" x14ac:dyDescent="0.2">
      <c r="A867" s="23"/>
      <c r="B867" s="23"/>
      <c r="C867" s="23"/>
      <c r="D867" s="23"/>
    </row>
    <row r="868" spans="1:4" ht="15.75" customHeight="1" x14ac:dyDescent="0.2">
      <c r="A868" s="23"/>
      <c r="B868" s="23"/>
      <c r="C868" s="23"/>
      <c r="D868" s="23"/>
    </row>
    <row r="869" spans="1:4" ht="15.75" customHeight="1" x14ac:dyDescent="0.2">
      <c r="A869" s="23"/>
      <c r="B869" s="23"/>
      <c r="C869" s="23"/>
      <c r="D869" s="23"/>
    </row>
    <row r="870" spans="1:4" ht="15.75" customHeight="1" x14ac:dyDescent="0.2">
      <c r="A870" s="23"/>
      <c r="B870" s="23"/>
      <c r="C870" s="23"/>
      <c r="D870" s="23"/>
    </row>
    <row r="871" spans="1:4" ht="15.75" customHeight="1" x14ac:dyDescent="0.2">
      <c r="A871" s="23"/>
      <c r="B871" s="23"/>
      <c r="C871" s="23"/>
      <c r="D871" s="23"/>
    </row>
    <row r="872" spans="1:4" ht="15.75" customHeight="1" x14ac:dyDescent="0.2">
      <c r="A872" s="23"/>
      <c r="B872" s="23"/>
      <c r="C872" s="23"/>
      <c r="D872" s="23"/>
    </row>
    <row r="873" spans="1:4" ht="15.75" customHeight="1" x14ac:dyDescent="0.2">
      <c r="A873" s="23"/>
      <c r="B873" s="23"/>
      <c r="C873" s="23"/>
      <c r="D873" s="23"/>
    </row>
    <row r="874" spans="1:4" ht="15.75" customHeight="1" x14ac:dyDescent="0.2">
      <c r="A874" s="23"/>
      <c r="B874" s="23"/>
      <c r="C874" s="23"/>
      <c r="D874" s="23"/>
    </row>
    <row r="875" spans="1:4" ht="15.75" customHeight="1" x14ac:dyDescent="0.2">
      <c r="A875" s="23"/>
      <c r="B875" s="23"/>
      <c r="C875" s="23"/>
      <c r="D875" s="23"/>
    </row>
    <row r="876" spans="1:4" ht="15.75" customHeight="1" x14ac:dyDescent="0.2">
      <c r="A876" s="23"/>
      <c r="B876" s="23"/>
      <c r="C876" s="23"/>
      <c r="D876" s="23"/>
    </row>
    <row r="877" spans="1:4" ht="15.75" customHeight="1" x14ac:dyDescent="0.2">
      <c r="A877" s="23"/>
      <c r="B877" s="23"/>
      <c r="C877" s="23"/>
      <c r="D877" s="23"/>
    </row>
    <row r="878" spans="1:4" ht="15.75" customHeight="1" x14ac:dyDescent="0.2">
      <c r="A878" s="23"/>
      <c r="B878" s="23"/>
      <c r="C878" s="23"/>
      <c r="D878" s="23"/>
    </row>
    <row r="879" spans="1:4" ht="15.75" customHeight="1" x14ac:dyDescent="0.2">
      <c r="A879" s="23"/>
      <c r="B879" s="23"/>
      <c r="C879" s="23"/>
      <c r="D879" s="23"/>
    </row>
    <row r="880" spans="1:4" ht="15.75" customHeight="1" x14ac:dyDescent="0.2">
      <c r="A880" s="23"/>
      <c r="B880" s="23"/>
      <c r="C880" s="23"/>
      <c r="D880" s="23"/>
    </row>
    <row r="881" spans="1:4" ht="15.75" customHeight="1" x14ac:dyDescent="0.2">
      <c r="A881" s="23"/>
      <c r="B881" s="23"/>
      <c r="C881" s="23"/>
      <c r="D881" s="23"/>
    </row>
    <row r="882" spans="1:4" ht="15.75" customHeight="1" x14ac:dyDescent="0.2">
      <c r="A882" s="23"/>
      <c r="B882" s="23"/>
      <c r="C882" s="23"/>
      <c r="D882" s="23"/>
    </row>
    <row r="883" spans="1:4" ht="15.75" customHeight="1" x14ac:dyDescent="0.2">
      <c r="A883" s="23"/>
      <c r="B883" s="23"/>
      <c r="C883" s="23"/>
      <c r="D883" s="23"/>
    </row>
    <row r="884" spans="1:4" ht="15.75" customHeight="1" x14ac:dyDescent="0.2">
      <c r="A884" s="23"/>
      <c r="B884" s="23"/>
      <c r="C884" s="23"/>
      <c r="D884" s="23"/>
    </row>
    <row r="885" spans="1:4" ht="15.75" customHeight="1" x14ac:dyDescent="0.2">
      <c r="A885" s="23"/>
      <c r="B885" s="23"/>
      <c r="C885" s="23"/>
      <c r="D885" s="23"/>
    </row>
    <row r="886" spans="1:4" ht="15.75" customHeight="1" x14ac:dyDescent="0.2">
      <c r="A886" s="23"/>
      <c r="B886" s="23"/>
      <c r="C886" s="23"/>
      <c r="D886" s="23"/>
    </row>
    <row r="887" spans="1:4" ht="15.75" customHeight="1" x14ac:dyDescent="0.2">
      <c r="A887" s="23"/>
      <c r="B887" s="23"/>
      <c r="C887" s="23"/>
      <c r="D887" s="23"/>
    </row>
    <row r="888" spans="1:4" ht="15.75" customHeight="1" x14ac:dyDescent="0.2">
      <c r="A888" s="23"/>
      <c r="B888" s="23"/>
      <c r="C888" s="23"/>
      <c r="D888" s="23"/>
    </row>
    <row r="889" spans="1:4" ht="15.75" customHeight="1" x14ac:dyDescent="0.2">
      <c r="A889" s="23"/>
      <c r="B889" s="23"/>
      <c r="C889" s="23"/>
      <c r="D889" s="23"/>
    </row>
    <row r="890" spans="1:4" ht="15.75" customHeight="1" x14ac:dyDescent="0.2">
      <c r="A890" s="23"/>
      <c r="B890" s="23"/>
      <c r="C890" s="23"/>
      <c r="D890" s="23"/>
    </row>
    <row r="891" spans="1:4" ht="15.75" customHeight="1" x14ac:dyDescent="0.2">
      <c r="A891" s="23"/>
      <c r="B891" s="23"/>
      <c r="C891" s="23"/>
      <c r="D891" s="23"/>
    </row>
    <row r="892" spans="1:4" ht="15.75" customHeight="1" x14ac:dyDescent="0.2">
      <c r="A892" s="23"/>
      <c r="B892" s="23"/>
      <c r="C892" s="23"/>
      <c r="D892" s="23"/>
    </row>
    <row r="893" spans="1:4" ht="15.75" customHeight="1" x14ac:dyDescent="0.2">
      <c r="A893" s="23"/>
      <c r="B893" s="23"/>
      <c r="C893" s="23"/>
      <c r="D893" s="23"/>
    </row>
    <row r="894" spans="1:4" ht="15.75" customHeight="1" x14ac:dyDescent="0.2">
      <c r="A894" s="23"/>
      <c r="B894" s="23"/>
      <c r="C894" s="23"/>
      <c r="D894" s="23"/>
    </row>
    <row r="895" spans="1:4" ht="15.75" customHeight="1" x14ac:dyDescent="0.2">
      <c r="A895" s="23"/>
      <c r="B895" s="23"/>
      <c r="C895" s="23"/>
      <c r="D895" s="23"/>
    </row>
    <row r="896" spans="1:4" ht="15.75" customHeight="1" x14ac:dyDescent="0.2">
      <c r="A896" s="23"/>
      <c r="B896" s="23"/>
      <c r="C896" s="23"/>
      <c r="D896" s="23"/>
    </row>
    <row r="897" spans="1:4" ht="15.75" customHeight="1" x14ac:dyDescent="0.2">
      <c r="A897" s="23"/>
      <c r="B897" s="23"/>
      <c r="C897" s="23"/>
      <c r="D897" s="23"/>
    </row>
    <row r="898" spans="1:4" ht="15.75" customHeight="1" x14ac:dyDescent="0.2">
      <c r="A898" s="23"/>
      <c r="B898" s="23"/>
      <c r="C898" s="23"/>
      <c r="D898" s="23"/>
    </row>
    <row r="899" spans="1:4" ht="15.75" customHeight="1" x14ac:dyDescent="0.2">
      <c r="A899" s="23"/>
      <c r="B899" s="23"/>
      <c r="C899" s="23"/>
      <c r="D899" s="23"/>
    </row>
    <row r="900" spans="1:4" ht="15.75" customHeight="1" x14ac:dyDescent="0.2">
      <c r="A900" s="23"/>
      <c r="B900" s="23"/>
      <c r="C900" s="23"/>
      <c r="D900" s="23"/>
    </row>
    <row r="901" spans="1:4" ht="15.75" customHeight="1" x14ac:dyDescent="0.2">
      <c r="A901" s="23"/>
      <c r="B901" s="23"/>
      <c r="C901" s="23"/>
      <c r="D901" s="23"/>
    </row>
    <row r="902" spans="1:4" ht="15.75" customHeight="1" x14ac:dyDescent="0.2">
      <c r="A902" s="23"/>
      <c r="B902" s="23"/>
      <c r="C902" s="23"/>
      <c r="D902" s="23"/>
    </row>
    <row r="903" spans="1:4" ht="15.75" customHeight="1" x14ac:dyDescent="0.2">
      <c r="A903" s="23"/>
      <c r="B903" s="23"/>
      <c r="C903" s="23"/>
      <c r="D903" s="23"/>
    </row>
    <row r="904" spans="1:4" ht="15.75" customHeight="1" x14ac:dyDescent="0.2">
      <c r="A904" s="23"/>
      <c r="B904" s="23"/>
      <c r="C904" s="23"/>
      <c r="D904" s="23"/>
    </row>
    <row r="905" spans="1:4" ht="15.75" customHeight="1" x14ac:dyDescent="0.2">
      <c r="A905" s="23"/>
      <c r="B905" s="23"/>
      <c r="C905" s="23"/>
      <c r="D905" s="23"/>
    </row>
    <row r="906" spans="1:4" ht="15.75" customHeight="1" x14ac:dyDescent="0.2">
      <c r="A906" s="23"/>
      <c r="B906" s="23"/>
      <c r="C906" s="23"/>
      <c r="D906" s="23"/>
    </row>
    <row r="907" spans="1:4" ht="15.75" customHeight="1" x14ac:dyDescent="0.2">
      <c r="A907" s="23"/>
      <c r="B907" s="23"/>
      <c r="C907" s="23"/>
      <c r="D907" s="23"/>
    </row>
    <row r="908" spans="1:4" ht="15.75" customHeight="1" x14ac:dyDescent="0.2">
      <c r="A908" s="23"/>
      <c r="B908" s="23"/>
      <c r="C908" s="23"/>
      <c r="D908" s="23"/>
    </row>
    <row r="909" spans="1:4" ht="15.75" customHeight="1" x14ac:dyDescent="0.2">
      <c r="A909" s="23"/>
      <c r="B909" s="23"/>
      <c r="C909" s="23"/>
      <c r="D909" s="23"/>
    </row>
    <row r="910" spans="1:4" ht="15.75" customHeight="1" x14ac:dyDescent="0.2">
      <c r="A910" s="23"/>
      <c r="B910" s="23"/>
      <c r="C910" s="23"/>
      <c r="D910" s="23"/>
    </row>
    <row r="911" spans="1:4" ht="15.75" customHeight="1" x14ac:dyDescent="0.2">
      <c r="A911" s="23"/>
      <c r="B911" s="23"/>
      <c r="C911" s="23"/>
      <c r="D911" s="23"/>
    </row>
    <row r="912" spans="1:4" ht="15.75" customHeight="1" x14ac:dyDescent="0.2">
      <c r="A912" s="23"/>
      <c r="B912" s="23"/>
      <c r="C912" s="23"/>
      <c r="D912" s="23"/>
    </row>
    <row r="913" spans="1:4" ht="15.75" customHeight="1" x14ac:dyDescent="0.2">
      <c r="A913" s="23"/>
      <c r="B913" s="23"/>
      <c r="C913" s="23"/>
      <c r="D913" s="23"/>
    </row>
    <row r="914" spans="1:4" ht="15.75" customHeight="1" x14ac:dyDescent="0.2">
      <c r="A914" s="23"/>
      <c r="B914" s="23"/>
      <c r="C914" s="23"/>
      <c r="D914" s="23"/>
    </row>
    <row r="915" spans="1:4" ht="15.75" customHeight="1" x14ac:dyDescent="0.2">
      <c r="A915" s="23"/>
      <c r="B915" s="23"/>
      <c r="C915" s="23"/>
      <c r="D915" s="23"/>
    </row>
    <row r="916" spans="1:4" ht="15.75" customHeight="1" x14ac:dyDescent="0.2">
      <c r="A916" s="23"/>
      <c r="B916" s="23"/>
      <c r="C916" s="23"/>
      <c r="D916" s="23"/>
    </row>
    <row r="917" spans="1:4" ht="15.75" customHeight="1" x14ac:dyDescent="0.2">
      <c r="A917" s="23"/>
      <c r="B917" s="23"/>
      <c r="C917" s="23"/>
      <c r="D917" s="23"/>
    </row>
    <row r="918" spans="1:4" ht="15.75" customHeight="1" x14ac:dyDescent="0.2">
      <c r="A918" s="23"/>
      <c r="B918" s="23"/>
      <c r="C918" s="23"/>
      <c r="D918" s="23"/>
    </row>
    <row r="919" spans="1:4" ht="15.75" customHeight="1" x14ac:dyDescent="0.2">
      <c r="A919" s="23"/>
      <c r="B919" s="23"/>
      <c r="C919" s="23"/>
      <c r="D919" s="23"/>
    </row>
    <row r="920" spans="1:4" ht="15.75" customHeight="1" x14ac:dyDescent="0.2">
      <c r="A920" s="23"/>
      <c r="B920" s="23"/>
      <c r="C920" s="23"/>
      <c r="D920" s="23"/>
    </row>
    <row r="921" spans="1:4" ht="15.75" customHeight="1" x14ac:dyDescent="0.2">
      <c r="A921" s="23"/>
      <c r="B921" s="23"/>
      <c r="C921" s="23"/>
      <c r="D921" s="23"/>
    </row>
    <row r="922" spans="1:4" ht="15.75" customHeight="1" x14ac:dyDescent="0.2">
      <c r="A922" s="23"/>
      <c r="B922" s="23"/>
      <c r="C922" s="23"/>
      <c r="D922" s="23"/>
    </row>
    <row r="923" spans="1:4" ht="15.75" customHeight="1" x14ac:dyDescent="0.2">
      <c r="A923" s="23"/>
      <c r="B923" s="23"/>
      <c r="C923" s="23"/>
      <c r="D923" s="23"/>
    </row>
    <row r="924" spans="1:4" ht="15.75" customHeight="1" x14ac:dyDescent="0.2">
      <c r="A924" s="23"/>
      <c r="B924" s="23"/>
      <c r="C924" s="23"/>
      <c r="D924" s="23"/>
    </row>
    <row r="925" spans="1:4" ht="15.75" customHeight="1" x14ac:dyDescent="0.2">
      <c r="A925" s="23"/>
      <c r="B925" s="23"/>
      <c r="C925" s="23"/>
      <c r="D925" s="23"/>
    </row>
    <row r="926" spans="1:4" ht="15.75" customHeight="1" x14ac:dyDescent="0.2">
      <c r="A926" s="23"/>
      <c r="B926" s="23"/>
      <c r="C926" s="23"/>
      <c r="D926" s="23"/>
    </row>
    <row r="927" spans="1:4" ht="15.75" customHeight="1" x14ac:dyDescent="0.2">
      <c r="A927" s="23"/>
      <c r="B927" s="23"/>
      <c r="C927" s="23"/>
      <c r="D927" s="23"/>
    </row>
    <row r="928" spans="1:4" ht="15.75" customHeight="1" x14ac:dyDescent="0.2">
      <c r="A928" s="23"/>
      <c r="B928" s="23"/>
      <c r="C928" s="23"/>
      <c r="D928" s="23"/>
    </row>
    <row r="929" spans="1:4" ht="15.75" customHeight="1" x14ac:dyDescent="0.2">
      <c r="A929" s="23"/>
      <c r="B929" s="23"/>
      <c r="C929" s="23"/>
      <c r="D929" s="23"/>
    </row>
    <row r="930" spans="1:4" ht="15.75" customHeight="1" x14ac:dyDescent="0.2">
      <c r="A930" s="23"/>
      <c r="B930" s="23"/>
      <c r="C930" s="23"/>
      <c r="D930" s="23"/>
    </row>
    <row r="931" spans="1:4" ht="15.75" customHeight="1" x14ac:dyDescent="0.2">
      <c r="A931" s="23"/>
      <c r="B931" s="23"/>
      <c r="C931" s="23"/>
      <c r="D931" s="23"/>
    </row>
    <row r="932" spans="1:4" ht="15.75" customHeight="1" x14ac:dyDescent="0.2">
      <c r="A932" s="23"/>
      <c r="B932" s="23"/>
      <c r="C932" s="23"/>
      <c r="D932" s="23"/>
    </row>
    <row r="933" spans="1:4" ht="15.75" customHeight="1" x14ac:dyDescent="0.2">
      <c r="A933" s="23"/>
      <c r="B933" s="23"/>
      <c r="C933" s="23"/>
      <c r="D933" s="23"/>
    </row>
    <row r="934" spans="1:4" ht="15.75" customHeight="1" x14ac:dyDescent="0.2">
      <c r="A934" s="23"/>
      <c r="B934" s="23"/>
      <c r="C934" s="23"/>
      <c r="D934" s="23"/>
    </row>
    <row r="935" spans="1:4" ht="15.75" customHeight="1" x14ac:dyDescent="0.2">
      <c r="A935" s="23"/>
      <c r="B935" s="23"/>
      <c r="C935" s="23"/>
      <c r="D935" s="23"/>
    </row>
    <row r="936" spans="1:4" ht="15.75" customHeight="1" x14ac:dyDescent="0.2">
      <c r="A936" s="23"/>
      <c r="B936" s="23"/>
      <c r="C936" s="23"/>
      <c r="D936" s="23"/>
    </row>
    <row r="937" spans="1:4" ht="15.75" customHeight="1" x14ac:dyDescent="0.2">
      <c r="A937" s="23"/>
      <c r="B937" s="23"/>
      <c r="C937" s="23"/>
      <c r="D937" s="23"/>
    </row>
    <row r="938" spans="1:4" ht="15.75" customHeight="1" x14ac:dyDescent="0.2">
      <c r="A938" s="23"/>
      <c r="B938" s="23"/>
      <c r="C938" s="23"/>
      <c r="D938" s="23"/>
    </row>
    <row r="939" spans="1:4" ht="15.75" customHeight="1" x14ac:dyDescent="0.2">
      <c r="A939" s="23"/>
      <c r="B939" s="23"/>
      <c r="C939" s="23"/>
      <c r="D939" s="23"/>
    </row>
    <row r="940" spans="1:4" ht="15.75" customHeight="1" x14ac:dyDescent="0.2">
      <c r="A940" s="23"/>
      <c r="B940" s="23"/>
      <c r="C940" s="23"/>
      <c r="D940" s="23"/>
    </row>
    <row r="941" spans="1:4" ht="15.75" customHeight="1" x14ac:dyDescent="0.2">
      <c r="A941" s="23"/>
      <c r="B941" s="23"/>
      <c r="C941" s="23"/>
      <c r="D941" s="23"/>
    </row>
    <row r="942" spans="1:4" ht="15.75" customHeight="1" x14ac:dyDescent="0.2">
      <c r="A942" s="23"/>
      <c r="B942" s="23"/>
      <c r="C942" s="23"/>
      <c r="D942" s="23"/>
    </row>
    <row r="943" spans="1:4" ht="15.75" customHeight="1" x14ac:dyDescent="0.2">
      <c r="A943" s="23"/>
      <c r="B943" s="23"/>
      <c r="C943" s="23"/>
      <c r="D943" s="23"/>
    </row>
    <row r="944" spans="1:4" ht="15.75" customHeight="1" x14ac:dyDescent="0.2">
      <c r="A944" s="23"/>
      <c r="B944" s="23"/>
      <c r="C944" s="23"/>
      <c r="D944" s="23"/>
    </row>
    <row r="945" spans="1:4" ht="15.75" customHeight="1" x14ac:dyDescent="0.2">
      <c r="A945" s="23"/>
      <c r="B945" s="23"/>
      <c r="C945" s="23"/>
      <c r="D945" s="23"/>
    </row>
    <row r="946" spans="1:4" ht="15.75" customHeight="1" x14ac:dyDescent="0.2">
      <c r="A946" s="23"/>
      <c r="B946" s="23"/>
      <c r="C946" s="23"/>
      <c r="D946" s="23"/>
    </row>
    <row r="947" spans="1:4" ht="15.75" customHeight="1" x14ac:dyDescent="0.2">
      <c r="A947" s="23"/>
      <c r="B947" s="23"/>
      <c r="C947" s="23"/>
      <c r="D947" s="23"/>
    </row>
    <row r="948" spans="1:4" ht="15.75" customHeight="1" x14ac:dyDescent="0.2">
      <c r="A948" s="23"/>
      <c r="B948" s="23"/>
      <c r="C948" s="23"/>
      <c r="D948" s="23"/>
    </row>
    <row r="949" spans="1:4" ht="15.75" customHeight="1" x14ac:dyDescent="0.2">
      <c r="A949" s="23"/>
      <c r="B949" s="23"/>
      <c r="C949" s="23"/>
      <c r="D949" s="23"/>
    </row>
    <row r="950" spans="1:4" ht="15.75" customHeight="1" x14ac:dyDescent="0.2">
      <c r="A950" s="23"/>
      <c r="B950" s="23"/>
      <c r="C950" s="23"/>
      <c r="D950" s="23"/>
    </row>
    <row r="951" spans="1:4" ht="15.75" customHeight="1" x14ac:dyDescent="0.2">
      <c r="A951" s="23"/>
      <c r="B951" s="23"/>
      <c r="C951" s="23"/>
      <c r="D951" s="23"/>
    </row>
    <row r="952" spans="1:4" ht="15.75" customHeight="1" x14ac:dyDescent="0.2">
      <c r="A952" s="23"/>
      <c r="B952" s="23"/>
      <c r="C952" s="23"/>
      <c r="D952" s="23"/>
    </row>
    <row r="953" spans="1:4" ht="15.75" customHeight="1" x14ac:dyDescent="0.2">
      <c r="A953" s="23"/>
      <c r="B953" s="23"/>
      <c r="C953" s="23"/>
      <c r="D953" s="23"/>
    </row>
    <row r="954" spans="1:4" ht="15.75" customHeight="1" x14ac:dyDescent="0.2">
      <c r="A954" s="23"/>
      <c r="B954" s="23"/>
      <c r="C954" s="23"/>
      <c r="D954" s="23"/>
    </row>
    <row r="955" spans="1:4" ht="15.75" customHeight="1" x14ac:dyDescent="0.2">
      <c r="A955" s="23"/>
      <c r="B955" s="23"/>
      <c r="C955" s="23"/>
      <c r="D955" s="23"/>
    </row>
    <row r="956" spans="1:4" ht="15.75" customHeight="1" x14ac:dyDescent="0.2">
      <c r="A956" s="23"/>
      <c r="B956" s="23"/>
      <c r="C956" s="23"/>
      <c r="D956" s="23"/>
    </row>
    <row r="957" spans="1:4" ht="15.75" customHeight="1" x14ac:dyDescent="0.2">
      <c r="A957" s="23"/>
      <c r="B957" s="23"/>
      <c r="C957" s="23"/>
      <c r="D957" s="23"/>
    </row>
    <row r="958" spans="1:4" ht="15.75" customHeight="1" x14ac:dyDescent="0.2">
      <c r="A958" s="23"/>
      <c r="B958" s="23"/>
      <c r="C958" s="23"/>
      <c r="D958" s="23"/>
    </row>
    <row r="959" spans="1:4" ht="15.75" customHeight="1" x14ac:dyDescent="0.2">
      <c r="A959" s="23"/>
      <c r="B959" s="23"/>
      <c r="C959" s="23"/>
      <c r="D959" s="23"/>
    </row>
    <row r="960" spans="1:4" ht="15.75" customHeight="1" x14ac:dyDescent="0.2">
      <c r="A960" s="23"/>
      <c r="B960" s="23"/>
      <c r="C960" s="23"/>
      <c r="D960" s="23"/>
    </row>
    <row r="961" spans="1:4" ht="15.75" customHeight="1" x14ac:dyDescent="0.2">
      <c r="A961" s="23"/>
      <c r="B961" s="23"/>
      <c r="C961" s="23"/>
      <c r="D961" s="23"/>
    </row>
    <row r="962" spans="1:4" ht="15.75" customHeight="1" x14ac:dyDescent="0.2">
      <c r="A962" s="23"/>
      <c r="B962" s="23"/>
      <c r="C962" s="23"/>
      <c r="D962" s="23"/>
    </row>
    <row r="963" spans="1:4" ht="15.75" customHeight="1" x14ac:dyDescent="0.2">
      <c r="A963" s="23"/>
      <c r="B963" s="23"/>
      <c r="C963" s="23"/>
      <c r="D963" s="23"/>
    </row>
    <row r="964" spans="1:4" ht="15.75" customHeight="1" x14ac:dyDescent="0.2">
      <c r="A964" s="23"/>
      <c r="B964" s="23"/>
      <c r="C964" s="23"/>
      <c r="D964" s="23"/>
    </row>
    <row r="965" spans="1:4" ht="15.75" customHeight="1" x14ac:dyDescent="0.2">
      <c r="A965" s="23"/>
      <c r="B965" s="23"/>
      <c r="C965" s="23"/>
      <c r="D965" s="23"/>
    </row>
    <row r="966" spans="1:4" ht="15.75" customHeight="1" x14ac:dyDescent="0.2">
      <c r="A966" s="23"/>
      <c r="B966" s="23"/>
      <c r="C966" s="23"/>
      <c r="D966" s="23"/>
    </row>
    <row r="967" spans="1:4" ht="15.75" customHeight="1" x14ac:dyDescent="0.2">
      <c r="A967" s="23"/>
      <c r="B967" s="23"/>
      <c r="C967" s="23"/>
      <c r="D967" s="23"/>
    </row>
    <row r="968" spans="1:4" ht="15.75" customHeight="1" x14ac:dyDescent="0.2">
      <c r="A968" s="23"/>
      <c r="B968" s="23"/>
      <c r="C968" s="23"/>
      <c r="D968" s="23"/>
    </row>
    <row r="969" spans="1:4" ht="15.75" customHeight="1" x14ac:dyDescent="0.2">
      <c r="A969" s="23"/>
      <c r="B969" s="23"/>
      <c r="C969" s="23"/>
      <c r="D969" s="23"/>
    </row>
    <row r="970" spans="1:4" ht="15.75" customHeight="1" x14ac:dyDescent="0.2">
      <c r="A970" s="23"/>
      <c r="B970" s="23"/>
      <c r="C970" s="23"/>
      <c r="D970" s="23"/>
    </row>
    <row r="971" spans="1:4" ht="15.75" customHeight="1" x14ac:dyDescent="0.2">
      <c r="A971" s="23"/>
      <c r="B971" s="23"/>
      <c r="C971" s="23"/>
      <c r="D971" s="23"/>
    </row>
    <row r="972" spans="1:4" ht="15.75" customHeight="1" x14ac:dyDescent="0.2">
      <c r="A972" s="23"/>
      <c r="B972" s="23"/>
      <c r="C972" s="23"/>
      <c r="D972" s="23"/>
    </row>
    <row r="973" spans="1:4" ht="15.75" customHeight="1" x14ac:dyDescent="0.2">
      <c r="A973" s="23"/>
      <c r="B973" s="23"/>
      <c r="C973" s="23"/>
      <c r="D973" s="23"/>
    </row>
    <row r="974" spans="1:4" ht="15.75" customHeight="1" x14ac:dyDescent="0.2">
      <c r="A974" s="23"/>
      <c r="B974" s="23"/>
      <c r="C974" s="23"/>
      <c r="D974" s="23"/>
    </row>
    <row r="975" spans="1:4" ht="15.75" customHeight="1" x14ac:dyDescent="0.2">
      <c r="A975" s="23"/>
      <c r="B975" s="23"/>
      <c r="C975" s="23"/>
      <c r="D975" s="23"/>
    </row>
    <row r="976" spans="1:4" ht="15.75" customHeight="1" x14ac:dyDescent="0.2">
      <c r="A976" s="23"/>
      <c r="B976" s="23"/>
      <c r="C976" s="23"/>
      <c r="D976" s="23"/>
    </row>
    <row r="977" spans="1:4" ht="15.75" customHeight="1" x14ac:dyDescent="0.2">
      <c r="A977" s="23"/>
      <c r="B977" s="23"/>
      <c r="C977" s="23"/>
      <c r="D977" s="23"/>
    </row>
    <row r="978" spans="1:4" ht="15.75" customHeight="1" x14ac:dyDescent="0.2">
      <c r="A978" s="23"/>
      <c r="B978" s="23"/>
      <c r="C978" s="23"/>
      <c r="D978" s="23"/>
    </row>
    <row r="979" spans="1:4" ht="15.75" customHeight="1" x14ac:dyDescent="0.2">
      <c r="A979" s="23"/>
      <c r="B979" s="23"/>
      <c r="C979" s="23"/>
      <c r="D979" s="23"/>
    </row>
    <row r="980" spans="1:4" ht="15.75" customHeight="1" x14ac:dyDescent="0.2">
      <c r="A980" s="23"/>
      <c r="B980" s="23"/>
      <c r="C980" s="23"/>
      <c r="D980" s="23"/>
    </row>
    <row r="981" spans="1:4" ht="15.75" customHeight="1" x14ac:dyDescent="0.2">
      <c r="A981" s="23"/>
      <c r="B981" s="23"/>
      <c r="C981" s="23"/>
      <c r="D981" s="23"/>
    </row>
    <row r="982" spans="1:4" ht="15.75" customHeight="1" x14ac:dyDescent="0.2">
      <c r="A982" s="23"/>
      <c r="B982" s="23"/>
      <c r="C982" s="23"/>
      <c r="D982" s="23"/>
    </row>
    <row r="983" spans="1:4" ht="15.75" customHeight="1" x14ac:dyDescent="0.2">
      <c r="A983" s="23"/>
      <c r="B983" s="23"/>
      <c r="C983" s="23"/>
      <c r="D983" s="23"/>
    </row>
    <row r="984" spans="1:4" ht="15.75" customHeight="1" x14ac:dyDescent="0.2">
      <c r="A984" s="23"/>
      <c r="B984" s="23"/>
      <c r="C984" s="23"/>
      <c r="D984" s="23"/>
    </row>
    <row r="985" spans="1:4" ht="15.75" customHeight="1" x14ac:dyDescent="0.2">
      <c r="A985" s="23"/>
      <c r="B985" s="23"/>
      <c r="C985" s="23"/>
      <c r="D985" s="23"/>
    </row>
    <row r="986" spans="1:4" ht="15.75" customHeight="1" x14ac:dyDescent="0.2">
      <c r="A986" s="23"/>
      <c r="B986" s="23"/>
      <c r="C986" s="23"/>
      <c r="D986" s="23"/>
    </row>
    <row r="987" spans="1:4" ht="15.75" customHeight="1" x14ac:dyDescent="0.2">
      <c r="A987" s="23"/>
      <c r="B987" s="23"/>
      <c r="C987" s="23"/>
      <c r="D987" s="23"/>
    </row>
    <row r="988" spans="1:4" ht="15.75" customHeight="1" x14ac:dyDescent="0.2">
      <c r="A988" s="23"/>
      <c r="B988" s="23"/>
      <c r="C988" s="23"/>
      <c r="D988" s="23"/>
    </row>
    <row r="989" spans="1:4" ht="15.75" customHeight="1" x14ac:dyDescent="0.2">
      <c r="A989" s="23"/>
      <c r="B989" s="23"/>
      <c r="C989" s="23"/>
      <c r="D989" s="23"/>
    </row>
    <row r="990" spans="1:4" ht="15.75" customHeight="1" x14ac:dyDescent="0.2">
      <c r="A990" s="23"/>
      <c r="B990" s="23"/>
      <c r="C990" s="23"/>
      <c r="D990" s="23"/>
    </row>
    <row r="991" spans="1:4" ht="15.75" customHeight="1" x14ac:dyDescent="0.2">
      <c r="A991" s="23"/>
      <c r="B991" s="23"/>
      <c r="C991" s="23"/>
      <c r="D991" s="23"/>
    </row>
    <row r="992" spans="1:4" ht="15.75" customHeight="1" x14ac:dyDescent="0.2">
      <c r="A992" s="23"/>
      <c r="B992" s="23"/>
      <c r="C992" s="23"/>
      <c r="D992" s="23"/>
    </row>
    <row r="993" spans="1:4" ht="15.75" customHeight="1" x14ac:dyDescent="0.2">
      <c r="A993" s="23"/>
      <c r="B993" s="23"/>
      <c r="C993" s="23"/>
      <c r="D993" s="23"/>
    </row>
    <row r="994" spans="1:4" ht="15.75" customHeight="1" x14ac:dyDescent="0.2">
      <c r="A994" s="23"/>
      <c r="B994" s="23"/>
      <c r="C994" s="23"/>
      <c r="D994" s="23"/>
    </row>
    <row r="995" spans="1:4" ht="15.75" customHeight="1" x14ac:dyDescent="0.2">
      <c r="A995" s="23"/>
      <c r="B995" s="23"/>
      <c r="C995" s="23"/>
      <c r="D995" s="23"/>
    </row>
    <row r="996" spans="1:4" ht="15.75" customHeight="1" x14ac:dyDescent="0.2">
      <c r="A996" s="23"/>
      <c r="B996" s="23"/>
      <c r="C996" s="23"/>
      <c r="D996" s="23"/>
    </row>
    <row r="997" spans="1:4" ht="15.75" customHeight="1" x14ac:dyDescent="0.2">
      <c r="A997" s="23"/>
      <c r="B997" s="23"/>
      <c r="C997" s="23"/>
      <c r="D997" s="23"/>
    </row>
    <row r="998" spans="1:4" ht="15.75" customHeight="1" x14ac:dyDescent="0.2">
      <c r="A998" s="23"/>
      <c r="B998" s="23"/>
      <c r="C998" s="23"/>
      <c r="D998" s="23"/>
    </row>
    <row r="999" spans="1:4" ht="15.75" customHeight="1" x14ac:dyDescent="0.2">
      <c r="A999" s="23"/>
      <c r="B999" s="23"/>
      <c r="C999" s="23"/>
      <c r="D999" s="23"/>
    </row>
    <row r="1000" spans="1:4" ht="15.75" customHeight="1" x14ac:dyDescent="0.2">
      <c r="A1000" s="23"/>
      <c r="B1000" s="23"/>
      <c r="C1000" s="23"/>
      <c r="D1000" s="23"/>
    </row>
  </sheetData>
  <pageMargins left="1.8" right="0.7" top="0.75" bottom="0.75" header="0" footer="0"/>
  <pageSetup scale="90" orientation="portrait"/>
  <headerFooter>
    <oddHeader>&amp;C&amp;"Calibri (Corps),Normal"&amp;14Données Février 2020</oddHeader>
    <oddFooter>&amp;RJF Dubroca/ Janvier 2025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5BB35-57AB-A545-8D50-2676D9407EF3}">
  <sheetPr>
    <tabColor rgb="FFFFFF00"/>
  </sheetPr>
  <dimension ref="B3:H19"/>
  <sheetViews>
    <sheetView showGridLines="0" zoomScale="160" zoomScaleNormal="160" workbookViewId="0">
      <selection activeCell="G14" sqref="G14"/>
    </sheetView>
  </sheetViews>
  <sheetFormatPr baseColWidth="10" defaultRowHeight="15" x14ac:dyDescent="0.2"/>
  <cols>
    <col min="2" max="2" width="16" bestFit="1" customWidth="1"/>
    <col min="3" max="4" width="12" bestFit="1" customWidth="1"/>
    <col min="5" max="5" width="11.1640625" bestFit="1" customWidth="1"/>
    <col min="7" max="7" width="18.83203125" bestFit="1" customWidth="1"/>
    <col min="8" max="8" width="16.6640625" bestFit="1" customWidth="1"/>
  </cols>
  <sheetData>
    <row r="3" spans="2:8" x14ac:dyDescent="0.2">
      <c r="H3" s="55">
        <f>GETPIVOTDATA("Montant",$G$7,"Categorie","bien de conso.")</f>
        <v>0.37223619560131022</v>
      </c>
    </row>
    <row r="4" spans="2:8" x14ac:dyDescent="0.2">
      <c r="H4" s="55">
        <f>GETPIVOTDATA("Montant",$G$7,"Categorie","nourriture")</f>
        <v>0.62776380439868973</v>
      </c>
    </row>
    <row r="5" spans="2:8" x14ac:dyDescent="0.2">
      <c r="B5" s="50" t="s">
        <v>33</v>
      </c>
      <c r="G5" s="50" t="s">
        <v>35</v>
      </c>
    </row>
    <row r="7" spans="2:8" x14ac:dyDescent="0.2">
      <c r="B7" s="33" t="s">
        <v>28</v>
      </c>
      <c r="C7" s="33" t="s">
        <v>26</v>
      </c>
      <c r="D7" s="31"/>
      <c r="E7" s="32"/>
      <c r="G7" s="47" t="s">
        <v>34</v>
      </c>
      <c r="H7" t="s">
        <v>28</v>
      </c>
    </row>
    <row r="8" spans="2:8" x14ac:dyDescent="0.2">
      <c r="B8" s="33" t="s">
        <v>23</v>
      </c>
      <c r="C8" s="30" t="s">
        <v>8</v>
      </c>
      <c r="D8" s="37" t="s">
        <v>9</v>
      </c>
      <c r="E8" s="34" t="s">
        <v>27</v>
      </c>
      <c r="G8" s="51" t="s">
        <v>8</v>
      </c>
      <c r="H8" s="52">
        <v>0.37223619560131022</v>
      </c>
    </row>
    <row r="9" spans="2:8" x14ac:dyDescent="0.2">
      <c r="B9" s="30">
        <v>24</v>
      </c>
      <c r="C9" s="38">
        <v>631.71</v>
      </c>
      <c r="D9" s="39">
        <v>878.62000000000012</v>
      </c>
      <c r="E9" s="35">
        <v>1510.3300000000002</v>
      </c>
      <c r="G9" s="51" t="s">
        <v>9</v>
      </c>
      <c r="H9" s="52">
        <v>0.62776380439868973</v>
      </c>
    </row>
    <row r="10" spans="2:8" x14ac:dyDescent="0.2">
      <c r="B10" s="42">
        <v>25</v>
      </c>
      <c r="C10" s="43">
        <v>368.74</v>
      </c>
      <c r="D10" s="44">
        <v>1028.4100000000001</v>
      </c>
      <c r="E10" s="45">
        <v>1397.15</v>
      </c>
      <c r="G10" s="51" t="s">
        <v>27</v>
      </c>
      <c r="H10" s="52">
        <v>1</v>
      </c>
    </row>
    <row r="11" spans="2:8" x14ac:dyDescent="0.2">
      <c r="B11" s="42">
        <v>26</v>
      </c>
      <c r="C11" s="43">
        <v>619.50999999999988</v>
      </c>
      <c r="D11" s="44">
        <v>719.24000000000012</v>
      </c>
      <c r="E11" s="45">
        <v>1338.75</v>
      </c>
    </row>
    <row r="12" spans="2:8" x14ac:dyDescent="0.2">
      <c r="B12" s="42">
        <v>36</v>
      </c>
      <c r="C12" s="43">
        <v>505.64</v>
      </c>
      <c r="D12" s="44">
        <v>729.20999999999992</v>
      </c>
      <c r="E12" s="45">
        <v>1234.8499999999999</v>
      </c>
    </row>
    <row r="13" spans="2:8" x14ac:dyDescent="0.2">
      <c r="B13" s="42">
        <v>20</v>
      </c>
      <c r="C13" s="43">
        <v>368.8</v>
      </c>
      <c r="D13" s="44">
        <v>779.14999999999986</v>
      </c>
      <c r="E13" s="45">
        <v>1147.9499999999998</v>
      </c>
    </row>
    <row r="14" spans="2:8" x14ac:dyDescent="0.2">
      <c r="B14" s="42">
        <v>35</v>
      </c>
      <c r="C14" s="43">
        <v>482.34</v>
      </c>
      <c r="D14" s="44">
        <v>639.66</v>
      </c>
      <c r="E14" s="45">
        <v>1122</v>
      </c>
    </row>
    <row r="15" spans="2:8" x14ac:dyDescent="0.2">
      <c r="B15" s="42">
        <v>31</v>
      </c>
      <c r="C15" s="43">
        <v>589.95999999999992</v>
      </c>
      <c r="D15" s="44">
        <v>525.25</v>
      </c>
      <c r="E15" s="45">
        <v>1115.21</v>
      </c>
    </row>
    <row r="16" spans="2:8" x14ac:dyDescent="0.2">
      <c r="B16" s="42">
        <v>38</v>
      </c>
      <c r="C16" s="43">
        <v>568.76</v>
      </c>
      <c r="D16" s="44">
        <v>526.25</v>
      </c>
      <c r="E16" s="45">
        <v>1095.01</v>
      </c>
    </row>
    <row r="17" spans="2:5" x14ac:dyDescent="0.2">
      <c r="B17" s="42">
        <v>15</v>
      </c>
      <c r="C17" s="43">
        <v>190.66</v>
      </c>
      <c r="D17" s="44">
        <v>872.33999999999992</v>
      </c>
      <c r="E17" s="45">
        <v>1063</v>
      </c>
    </row>
    <row r="18" spans="2:5" x14ac:dyDescent="0.2">
      <c r="B18" s="42">
        <v>22</v>
      </c>
      <c r="C18" s="43">
        <v>291.37</v>
      </c>
      <c r="D18" s="44">
        <v>743.33</v>
      </c>
      <c r="E18" s="45">
        <v>1034.7</v>
      </c>
    </row>
    <row r="19" spans="2:5" x14ac:dyDescent="0.2">
      <c r="B19" s="46" t="s">
        <v>27</v>
      </c>
      <c r="C19" s="40">
        <v>4617.49</v>
      </c>
      <c r="D19" s="41">
        <v>7441.4599999999991</v>
      </c>
      <c r="E19" s="36">
        <v>12058.95</v>
      </c>
    </row>
  </sheetData>
  <pageMargins left="0.7" right="0.7" top="0.75" bottom="0.75" header="0.3" footer="0.3"/>
  <pageSetup paperSize="9" orientation="landscape" horizontalDpi="0" verticalDpi="0"/>
  <headerFooter>
    <oddFooter>&amp;RJF Dubroca/ Janvier 2025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27343-310E-BB4D-82B6-E8911A118A0A}">
  <sheetPr>
    <tabColor rgb="FFFF0000"/>
    <pageSetUpPr fitToPage="1"/>
  </sheetPr>
  <dimension ref="A1"/>
  <sheetViews>
    <sheetView showGridLines="0" zoomScaleNormal="100" zoomScalePageLayoutView="66" workbookViewId="0">
      <selection activeCell="S20" sqref="S20"/>
    </sheetView>
  </sheetViews>
  <sheetFormatPr baseColWidth="10" defaultRowHeight="15" x14ac:dyDescent="0.2"/>
  <sheetData>
    <row r="1" spans="1:1" x14ac:dyDescent="0.2">
      <c r="A1" s="50"/>
    </row>
  </sheetData>
  <pageMargins left="0.7" right="0.7" top="0.75" bottom="0.75" header="0.3" footer="0.3"/>
  <pageSetup paperSize="9" scale="71" fitToHeight="0" orientation="landscape" horizontalDpi="0" verticalDpi="0"/>
  <headerFooter>
    <oddHeader xml:space="preserve">&amp;C&amp;"Calibri (Corps),Normal"&amp;14Essai de différentes infographies </oddHeader>
    <oddFooter>&amp;RJF Dubroca/ Janvier 2025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Tableau de bord</vt:lpstr>
      <vt:lpstr>Tableau Client x Catégorie</vt:lpstr>
      <vt:lpstr>DATA Février (clients affiliés)</vt:lpstr>
      <vt:lpstr>TCD</vt:lpstr>
      <vt:lpstr>Infographie</vt:lpstr>
      <vt:lpstr>'DATA Février (clients affiliés)'!Impression_des_titres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Angeline Monceaux</cp:lastModifiedBy>
  <dcterms:created xsi:type="dcterms:W3CDTF">2021-02-27T08:31:49Z</dcterms:created>
  <dcterms:modified xsi:type="dcterms:W3CDTF">2025-01-06T15:53:01Z</dcterms:modified>
</cp:coreProperties>
</file>